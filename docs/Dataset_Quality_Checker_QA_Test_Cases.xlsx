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How to use" sheetId="1" state="visible" r:id="rId3"/>
    <sheet name="Summary" sheetId="2" state="visible" r:id="rId4"/>
    <sheet name="Test Cases" sheetId="3" state="visible" r:id="rId5"/>
    <sheet name="Bug Log" sheetId="4" state="visible" r:id="rId6"/>
    <sheet name="Test Data Files" sheetId="5" state="visible" r:id="rId7"/>
  </sheets>
  <definedNames>
    <definedName function="false" hidden="true" localSheetId="2" name="_xlnm._FilterDatabase" vbProcedure="false">'Test Cases'!$A$1:$J$73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<sst xmlns="http://schemas.openxmlformats.org/spreadsheetml/2006/main" count="810" uniqueCount="525">
  <si>
    <t xml:space="preserve">Dataset Quality Checker — QA Test Cases</t>
  </si>
  <si>
    <t xml:space="preserve">Manual test plan for the web app. Version 1.0, prepared 11 Oct 2026.</t>
  </si>
  <si>
    <t xml:space="preserve">Before you start</t>
  </si>
  <si>
    <t xml:space="preserve">1. Get the test files</t>
  </si>
  <si>
    <t xml:space="preserve">Unzip qa_test_data.zip into a folder. Each test case names the file it needs in the 'Test data' column.</t>
  </si>
  <si>
    <t xml:space="preserve">2. Open the app</t>
  </si>
  <si>
    <t xml:space="preserve">Use the link Saba gives you. Use Chrome unless the test says otherwise.</t>
  </si>
  <si>
    <t xml:space="preserve">3. Work top to bottom</t>
  </si>
  <si>
    <t xml:space="preserve">Do each test in the 'Test Cases' sheet in order. Follow the steps exactly.</t>
  </si>
  <si>
    <t xml:space="preserve">How to record results</t>
  </si>
  <si>
    <t xml:space="preserve">Actual result</t>
  </si>
  <si>
    <t xml:space="preserve">Write what you actually saw. If it matches, 'As expected' is enough.</t>
  </si>
  <si>
    <t xml:space="preserve">Status</t>
  </si>
  <si>
    <t xml:space="preserve">Pick from the dropdown: Pass, Fail, Blocked (could not run the test), Not run.</t>
  </si>
  <si>
    <t xml:space="preserve">Severity</t>
  </si>
  <si>
    <t xml:space="preserve">Only for Fail: Critical (crash, wrong result, security), Major (feature broken), Minor (works but confusing), Cosmetic (looks wrong).</t>
  </si>
  <si>
    <t xml:space="preserve">Notes / screenshot</t>
  </si>
  <si>
    <t xml:space="preserve">Anything useful, e.g. the screenshot file name you saved for a failure.</t>
  </si>
  <si>
    <t xml:space="preserve">Cells to fill</t>
  </si>
  <si>
    <t xml:space="preserve">Only the light-yellow cells. Do not change the other columns.</t>
  </si>
  <si>
    <t xml:space="preserve">Bugs</t>
  </si>
  <si>
    <t xml:space="preserve">For every Fail, also add a row in the 'Bug Log' sheet.</t>
  </si>
  <si>
    <t xml:space="preserve">Example of a filled-in row</t>
  </si>
  <si>
    <t xml:space="preserve">Test ID</t>
  </si>
  <si>
    <t xml:space="preserve">TC-012</t>
  </si>
  <si>
    <t xml:space="preserve">Red message shown: 'File is too large. Maximum size is 10 MB.' Button stayed grey.</t>
  </si>
  <si>
    <t xml:space="preserve">Pass</t>
  </si>
  <si>
    <t xml:space="preserve">(leave empty when Pass)</t>
  </si>
  <si>
    <t xml:space="preserve">Tested in Chrome 141.</t>
  </si>
  <si>
    <t xml:space="preserve">Tester details</t>
  </si>
  <si>
    <t xml:space="preserve">Tester name</t>
  </si>
  <si>
    <t xml:space="preserve">Independent tester</t>
  </si>
  <si>
    <t xml:space="preserve">Date tested</t>
  </si>
  <si>
    <t xml:space="preserve">Device / OS</t>
  </si>
  <si>
    <t xml:space="preserve">Windows 10</t>
  </si>
  <si>
    <t xml:space="preserve">App URL tested</t>
  </si>
  <si>
    <t xml:space="preserve">https://saabz.pythonanywhere.com/dqc/analyze</t>
  </si>
  <si>
    <t xml:space="preserve">Test run summary</t>
  </si>
  <si>
    <t xml:space="preserve">Updates automatically from the 'Test Cases' sheet.</t>
  </si>
  <si>
    <t xml:space="preserve">Module</t>
  </si>
  <si>
    <t xml:space="preserve">Total</t>
  </si>
  <si>
    <t xml:space="preserve">Fail</t>
  </si>
  <si>
    <t xml:space="preserve">Blocked</t>
  </si>
  <si>
    <t xml:space="preserve">Not run</t>
  </si>
  <si>
    <t xml:space="preserve">Pass rate</t>
  </si>
  <si>
    <t xml:space="preserve">A. Access</t>
  </si>
  <si>
    <t xml:space="preserve">B. Upload &amp; preview</t>
  </si>
  <si>
    <t xml:space="preserve">C. Report correctness</t>
  </si>
  <si>
    <t xml:space="preserve">D. Report interaction</t>
  </si>
  <si>
    <t xml:space="preserve">E. Edge-case files</t>
  </si>
  <si>
    <t xml:space="preserve">F. Layout &amp; browsers</t>
  </si>
  <si>
    <t xml:space="preserve">Pass rate = Pass ÷ (Total − Not run), i.e. only counts tests that were actually executed.</t>
  </si>
  <si>
    <t xml:space="preserve">Open bugs by severity</t>
  </si>
  <si>
    <t xml:space="preserve">Critical</t>
  </si>
  <si>
    <t xml:space="preserve">Major</t>
  </si>
  <si>
    <t xml:space="preserve">Minor</t>
  </si>
  <si>
    <t xml:space="preserve">Cosmetic</t>
  </si>
  <si>
    <t xml:space="preserve">Test case</t>
  </si>
  <si>
    <t xml:space="preserve">Test data / precondition</t>
  </si>
  <si>
    <t xml:space="preserve">Steps</t>
  </si>
  <si>
    <t xml:space="preserve">Expected result</t>
  </si>
  <si>
    <t xml:space="preserve">TC-001</t>
  </si>
  <si>
    <t xml:space="preserve">Home page loads</t>
  </si>
  <si>
    <t xml:space="preserve">App running</t>
  </si>
  <si>
    <t xml:space="preserve">1. Open the app URL.</t>
  </si>
  <si>
    <t xml:space="preserve">Page loads with header 'Dataset Quality Checker', heading 'Is your dataset ready for machine learning?' and a list of 5 checks. No error messages.</t>
  </si>
  <si>
    <t xml:space="preserve">Page loaded with the expected header, heading, five quality-check items, and no visible error messages.</t>
  </si>
  <si>
    <t xml:space="preserve">Tested in Chrome.</t>
  </si>
  <si>
    <t xml:space="preserve">TC-002</t>
  </si>
  <si>
    <t xml:space="preserve">Initial state of upload form</t>
  </si>
  <si>
    <t xml:space="preserve">-</t>
  </si>
  <si>
    <t xml:space="preserve">1. Open home page.
2. Look at the dropdown and the blue button.</t>
  </si>
  <si>
    <t xml:space="preserve">'Run quality check' button is greyed out (disabled). Dropdown shows 'Choose a file first' and cannot be opened.</t>
  </si>
  <si>
    <t xml:space="preserve">Upload dropdown showed “Choose a file first” and was disabled. “Run quality check” button was greyed out and disabled.</t>
  </si>
  <si>
    <t xml:space="preserve">TC-003</t>
  </si>
  <si>
    <t xml:space="preserve">Open file picker by clicking</t>
  </si>
  <si>
    <t xml:space="preserve">1. Click the dashed upload box.</t>
  </si>
  <si>
    <t xml:space="preserve">File picker opens. By default only .csv files are listed.</t>
  </si>
  <si>
    <t xml:space="preserve">The file picker opens, with CSV files selected as the default file filter.</t>
  </si>
  <si>
    <t xml:space="preserve">TC-004</t>
  </si>
  <si>
    <t xml:space="preserve">Select a valid CSV</t>
  </si>
  <si>
    <t xml:space="preserve">01_sample_messy.csv</t>
  </si>
  <si>
    <t xml:space="preserve">1. Click the upload box.
2. Select the file.</t>
  </si>
  <si>
    <t xml:space="preserve">File chip shows '01_sample_messy.csv' and '544 B'. Preview table shows 7 columns and 5 rows. The empty 'duration' cell in row 3 is shaded light red.</t>
  </si>
  <si>
    <t xml:space="preserve">Filename: 01_sample_messy.csv
File size: 544 B
Preview: 7 columns and 5 rows
The empty duration cell in row 3 is shaded light red.</t>
  </si>
  <si>
    <t xml:space="preserve">TC-005</t>
  </si>
  <si>
    <t xml:space="preserve">Label column auto-detected</t>
  </si>
  <si>
    <t xml:space="preserve">1. Select the file.
2. Look at the dropdown.</t>
  </si>
  <si>
    <t xml:space="preserve">Dropdown is enabled and 'label' is already selected.</t>
  </si>
  <si>
    <t xml:space="preserve">The dropdown is enabled and label is already selected.</t>
  </si>
  <si>
    <t xml:space="preserve">Tested using 01_sample_messy.csv.</t>
  </si>
  <si>
    <t xml:space="preserve">TC-006</t>
  </si>
  <si>
    <t xml:space="preserve">Dropdown lists all columns</t>
  </si>
  <si>
    <t xml:space="preserve">1. Select the file.
2. Open the dropdown.</t>
  </si>
  <si>
    <t xml:space="preserve">Options: 'None (skip class balance)' followed by the 7 column names in file order.</t>
  </si>
  <si>
    <t xml:space="preserve">The dropdown contains None (skip class balance) followed by all seven columns in file order.</t>
  </si>
  <si>
    <t xml:space="preserve">TC-007</t>
  </si>
  <si>
    <t xml:space="preserve">Drag and drop a CSV</t>
  </si>
  <si>
    <t xml:space="preserve">1. Drag the file from File Explorer onto the dashed box.
2. Drop it.</t>
  </si>
  <si>
    <t xml:space="preserve">Box turns blue while dragging. After dropping, same result as the 'Select a valid CSV' test.</t>
  </si>
  <si>
    <t xml:space="preserve">The box turns blue during dragging, and the resulting upload matches TC-004.</t>
  </si>
  <si>
    <t xml:space="preserve">None</t>
  </si>
  <si>
    <t xml:space="preserve">TC-008</t>
  </si>
  <si>
    <t xml:space="preserve">Remove selected file</t>
  </si>
  <si>
    <t xml:space="preserve">1. Select the file.
2. Click the × on the file chip.</t>
  </si>
  <si>
    <t xml:space="preserve">File chip and preview disappear. Dropdown resets to 'Choose a file first'. Button is disabled again.</t>
  </si>
  <si>
    <t xml:space="preserve">The file chip and preview disappear, the dropdown resets to Choose a file first, and the button becomes disabled.</t>
  </si>
  <si>
    <t xml:space="preserve">TC-009</t>
  </si>
  <si>
    <t xml:space="preserve">Replace one file with another</t>
  </si>
  <si>
    <t xml:space="preserve">01_sample_messy.csv then 02_clean.csv</t>
  </si>
  <si>
    <t xml:space="preserve">1. Select 01_sample_messy.csv.
2. Select 02_clean.csv.</t>
  </si>
  <si>
    <t xml:space="preserve">Preview and dropdown update to the new file's 5 columns (temperature, humidity, pressure, device_type, label).</t>
  </si>
  <si>
    <t xml:space="preserve">The new file has five columns in this order: temperature, humidity, pressure, device_type, label.</t>
  </si>
  <si>
    <t xml:space="preserve">Tested using 02_clean.csv</t>
  </si>
  <si>
    <t xml:space="preserve">TC-010</t>
  </si>
  <si>
    <t xml:space="preserve">Reject non-CSV file (picker)</t>
  </si>
  <si>
    <t xml:space="preserve">22_not_a_csv.txt</t>
  </si>
  <si>
    <t xml:space="preserve">1. Click upload box.
2. Change the file-type filter to 'All files'.
3. Select the .txt file.</t>
  </si>
  <si>
    <t xml:space="preserve">Red message: 'Only .csv files are supported.' Button stays disabled.</t>
  </si>
  <si>
    <t xml:space="preserve">Red error message 'Only .csv files are supported''. The Run quality check button stays disabled.</t>
  </si>
  <si>
    <t xml:space="preserve">Tested using 22_not_a_csv.txt</t>
  </si>
  <si>
    <t xml:space="preserve">TC-011</t>
  </si>
  <si>
    <t xml:space="preserve">Reject non-CSV file (drag &amp; drop)</t>
  </si>
  <si>
    <t xml:space="preserve">1. Drag the .txt file onto the box.</t>
  </si>
  <si>
    <t xml:space="preserve">Red error message 'Only .csv files are supported'. The Run quality check button stays disabled.</t>
  </si>
  <si>
    <t xml:space="preserve">Reject file over 10 MB</t>
  </si>
  <si>
    <t xml:space="preserve">24_too_large_11MB.csv</t>
  </si>
  <si>
    <t xml:space="preserve">1. Select the file.</t>
  </si>
  <si>
    <t xml:space="preserve">Red message: 'File is too large. Maximum size is 10 MB.' Button stays disabled.</t>
  </si>
  <si>
    <t xml:space="preserve">File is too large'. Maximum size is 10 MB. The Run quality check button stays disabled.</t>
  </si>
  <si>
    <t xml:space="preserve">Tested using 24_too_large_11MB </t>
  </si>
  <si>
    <t xml:space="preserve">TC-013</t>
  </si>
  <si>
    <t xml:space="preserve">Reject 0-byte file</t>
  </si>
  <si>
    <t xml:space="preserve">04_empty_0_bytes.csv</t>
  </si>
  <si>
    <t xml:space="preserve">Red message: 'The file looks empty.' Button stays disabled.</t>
  </si>
  <si>
    <t xml:space="preserve">Red error message 'The file looks empty'. The Run quality check button stays disabled.</t>
  </si>
  <si>
    <t xml:space="preserve">Tested using 04_empty_0_bytes</t>
  </si>
  <si>
    <t xml:space="preserve">TC-014</t>
  </si>
  <si>
    <t xml:space="preserve">Preview of semicolon file</t>
  </si>
  <si>
    <t xml:space="preserve">09_semicolon_separated.csv</t>
  </si>
  <si>
    <t xml:space="preserve">Preview shows 3 separate columns: a, b, c (not one column 'a;b;c').</t>
  </si>
  <si>
    <t xml:space="preserve">The preview contains three separate columns named a, b, and c, rather than a single column named a;b;c.</t>
  </si>
  <si>
    <t xml:space="preserve">Tested using 09_semicolon_separated.csv</t>
  </si>
  <si>
    <t xml:space="preserve">TC-015</t>
  </si>
  <si>
    <t xml:space="preserve">Preview of quoted values with commas</t>
  </si>
  <si>
    <t xml:space="preserve">10_quoted_commas.csv</t>
  </si>
  <si>
    <t xml:space="preserve">'address' column shows 'House 5, Street 2, Lahore' in ONE cell. Table has exactly 3 columns.</t>
  </si>
  <si>
    <t xml:space="preserve">The commas inside the quoted address do not split the address into separate columns.</t>
  </si>
  <si>
    <t xml:space="preserve">Tested using 10_quoted_commas.csv</t>
  </si>
  <si>
    <t xml:space="preserve">TC-016</t>
  </si>
  <si>
    <t xml:space="preserve">Preview of Urdu headers</t>
  </si>
  <si>
    <t xml:space="preserve">12_urdu_unicode_headers.csv</t>
  </si>
  <si>
    <t xml:space="preserve">Urdu headers (نام, عمر) display correctly, not as garbled symbols.</t>
  </si>
  <si>
    <t xml:space="preserve">Both Urdu headers display correctly.</t>
  </si>
  <si>
    <t xml:space="preserve">Tested using 12_urdu_unicode_headers.csv</t>
  </si>
  <si>
    <t xml:space="preserve">TC-017</t>
  </si>
  <si>
    <t xml:space="preserve">Loading state on submit</t>
  </si>
  <si>
    <t xml:space="preserve">1. Select the file.
2. Click 'Run quality check'.</t>
  </si>
  <si>
    <t xml:space="preserve">Button text changes to 'Analysing…' and is disabled until the report opens.</t>
  </si>
  <si>
    <t xml:space="preserve">The Analyzing label appears, and the button cannot be clicked again while the request is processing.</t>
  </si>
  <si>
    <t xml:space="preserve">TC-018</t>
  </si>
  <si>
    <t xml:space="preserve">Browser Back after report</t>
  </si>
  <si>
    <t xml:space="preserve">1. Run a check.
2. Press the browser Back button.</t>
  </si>
  <si>
    <t xml:space="preserve">Upload page is usable. Button is NOT stuck on 'Analysing…'.</t>
  </si>
  <si>
    <t xml:space="preserve">The upload page is usable again, and the Run quality check button is not stuck on Analyzing….</t>
  </si>
  <si>
    <t xml:space="preserve">TC-019</t>
  </si>
  <si>
    <t xml:space="preserve">Try sample data button</t>
  </si>
  <si>
    <t xml:space="preserve">1. On home page click 'Try sample data'.</t>
  </si>
  <si>
    <t xml:space="preserve">Report opens for 'sample_data.csv' with score 49.</t>
  </si>
  <si>
    <t xml:space="preserve">The report opens for sample_data.csv and displays a quality score of 49.</t>
  </si>
  <si>
    <t xml:space="preserve">TC-020</t>
  </si>
  <si>
    <t xml:space="preserve">Keyboard access to upload box</t>
  </si>
  <si>
    <t xml:space="preserve">1. Open home page.
2. Press Tab until the upload box has a blue outline.
3. Press Enter.</t>
  </si>
  <si>
    <t xml:space="preserve">Upload box receives a visible blue focus outline. Enter opens the file picker.</t>
  </si>
  <si>
    <t xml:space="preserve">The upload box can be reached using the keyboard, has a visible focus indicator, and opens the file picker when Enter is pressed.</t>
  </si>
  <si>
    <t xml:space="preserve">TC-021</t>
  </si>
  <si>
    <t xml:space="preserve">Score and verdict</t>
  </si>
  <si>
    <t xml:space="preserve">01_sample_messy.csv, label = label</t>
  </si>
  <si>
    <t xml:space="preserve">1. Upload with label 'label'.</t>
  </si>
  <si>
    <t xml:space="preserve">Score 49 in red ring. Verdict 'Not ready - major issues' in red.</t>
  </si>
  <si>
    <t xml:space="preserve">The report displays a score of 49 with a red ring and the verdict Not ready - major issues in red.</t>
  </si>
  <si>
    <t xml:space="preserve">TC-022</t>
  </si>
  <si>
    <t xml:space="preserve">Summary numbers</t>
  </si>
  <si>
    <t xml:space="preserve">1. Look at the 4 stat boxes.</t>
  </si>
  <si>
    <t xml:space="preserve">Rows 15, Columns 7, Numeric 6, Memory about 1.6 KB.</t>
  </si>
  <si>
    <t xml:space="preserve">The report displayed 15 rows, 7 columns, 6 numeric columns, and approximately 1.6 KB memory usage.</t>
  </si>
  <si>
    <t xml:space="preserve">TC-023</t>
  </si>
  <si>
    <t xml:space="preserve">Status badge counts</t>
  </si>
  <si>
    <t xml:space="preserve">1. Look at badges under the stats.</t>
  </si>
  <si>
    <t xml:space="preserve">0 PASSED, 6 WARNINGS, 2 FAILED.</t>
  </si>
  <si>
    <t xml:space="preserve">The report displayed 0 PASSED, 6 WARNINGS, and 2 FAILED.</t>
  </si>
  <si>
    <t xml:space="preserve">TC-024</t>
  </si>
  <si>
    <t xml:space="preserve">What to fix list</t>
  </si>
  <si>
    <t xml:space="preserve">1. Read the 'What to fix' list.</t>
  </si>
  <si>
    <t xml:space="preserve">6 items: missing values in duration (13.33%), remove 2 duplicates, protocol_flag constant, rate has 2 infinite values, 10 correlated pairs, imbalance 6.5:1.</t>
  </si>
  <si>
    <t xml:space="preserve">The What to fix section displayed all six expected recommendations with the corresponding details.</t>
  </si>
  <si>
    <t xml:space="preserve">TC-025</t>
  </si>
  <si>
    <t xml:space="preserve">Dataset size check</t>
  </si>
  <si>
    <t xml:space="preserve">1. Find 'Dataset size'.</t>
  </si>
  <si>
    <t xml:space="preserve">WARN. Text: 'Only 15 row(s). Results may be unreliable…'</t>
  </si>
  <si>
    <t xml:space="preserve">Dataset size check displayed WARN with the message that only 15 rows were available and results may be unreliable.</t>
  </si>
  <si>
    <t xml:space="preserve">TC-026</t>
  </si>
  <si>
    <t xml:space="preserve">Missing values check</t>
  </si>
  <si>
    <t xml:space="preserve">1. Open 'Missing values'.</t>
  </si>
  <si>
    <t xml:space="preserve">WARN. Table row: duration, 2, 13.33% with a short red bar.</t>
  </si>
  <si>
    <t xml:space="preserve">Missing values check displayed WARN. The table showed duration with 2 missing values (13.33%) and a short red bar.</t>
  </si>
  <si>
    <t xml:space="preserve">TC-027</t>
  </si>
  <si>
    <t xml:space="preserve">Duplicate rows check</t>
  </si>
  <si>
    <t xml:space="preserve">1. Open 'Duplicate rows'.</t>
  </si>
  <si>
    <t xml:space="preserve">FAIL. '2 duplicate rows (13.33%)' plus an explanation of why duplicates are harmful.</t>
  </si>
  <si>
    <t xml:space="preserve">Duplicate rows check displayed FAIL with 2 duplicate rows (13.33%) and an explanation of why duplicates are harmful.</t>
  </si>
  <si>
    <t xml:space="preserve">TC-028</t>
  </si>
  <si>
    <t xml:space="preserve">Constant columns check</t>
  </si>
  <si>
    <t xml:space="preserve">1. Open 'Constant columns'.</t>
  </si>
  <si>
    <t xml:space="preserve">WARN. Table row: protocol_flag, constant, 100.0%.</t>
  </si>
  <si>
    <t xml:space="preserve">Constant columns check displayed WARN. The table identified protocol_flag as constant with 100.0%.</t>
  </si>
  <si>
    <t xml:space="preserve">TC-029</t>
  </si>
  <si>
    <t xml:space="preserve">Infinite values check</t>
  </si>
  <si>
    <t xml:space="preserve">1. Open 'Infinite values'.</t>
  </si>
  <si>
    <t xml:space="preserve">FAIL. Table row: rate, 2.</t>
  </si>
  <si>
    <t xml:space="preserve">Infinite values check displayed FAIL and identified 2 infinite values in the rate column.</t>
  </si>
  <si>
    <t xml:space="preserve">TC-030</t>
  </si>
  <si>
    <t xml:space="preserve">Outliers check</t>
  </si>
  <si>
    <t xml:space="preserve">1. Open 'Outliers'.</t>
  </si>
  <si>
    <t xml:space="preserve">WARN. 5 columns listed. First row: duration, 3, 23.08%, range 0.95 … 1.35.</t>
  </si>
  <si>
    <t xml:space="preserve">Outliers check displayed WARN and listed 5 columns. The first row showed duration with 3 outliers (23.08%) and a range of 0.95 to 1.35.</t>
  </si>
  <si>
    <t xml:space="preserve">TC-031</t>
  </si>
  <si>
    <t xml:space="preserve">Class balance check</t>
  </si>
  <si>
    <t xml:space="preserve">1. Open 'Class balance'.</t>
  </si>
  <si>
    <t xml:space="preserve">WARN. Ratio 6.5:1. Bar chart with tall 'normal' bar and short 'attack' bar. Table: normal 13 (86.67%), attack 2 (13.33%).</t>
  </si>
  <si>
    <t xml:space="preserve">Class balance check displayed WARN with a ratio of 6.5:1. The chart showed a tall normal bar and a short attack bar. The table showed normal: 13 (86.67%) and attack: 2 (13.33%).</t>
  </si>
  <si>
    <t xml:space="preserve">TC-032</t>
  </si>
  <si>
    <t xml:space="preserve">Correlation check</t>
  </si>
  <si>
    <t xml:space="preserve">1. Open 'Highly correlated features'.</t>
  </si>
  <si>
    <t xml:space="preserve">WARN. 10 pairs. First row: packet_size, bytes_sent, 1.0.</t>
  </si>
  <si>
    <t xml:space="preserve">Highly correlated features check displayed WARN with 10 pairs. The first row showed packet_size and bytes_sent with a correlation value of 1.0.</t>
  </si>
  <si>
    <t xml:space="preserve">TC-033</t>
  </si>
  <si>
    <t xml:space="preserve">No label selected</t>
  </si>
  <si>
    <t xml:space="preserve">01_sample_messy.csv, label = None</t>
  </si>
  <si>
    <t xml:space="preserve">1. Choose 'None (skip class balance)'.
2. Run check.</t>
  </si>
  <si>
    <t xml:space="preserve">Score 56 in amber, verdict 'Needs cleaning', note 'Class balance not included in score'. Badges 0 / 5 / 2 / 1 SKIPPED. Class balance shows SKIPPED.</t>
  </si>
  <si>
    <t xml:space="preserve">With None (skip class balance) selected, the report displayed score 56 in amber, verdict Needs cleaning, and the note Class balance not included in score. Badges showed 0 passed, 5 warnings, 2 failed, and 1 skipped. Class balance was marked SKIPPED.</t>
  </si>
  <si>
    <t xml:space="preserve">TC-034</t>
  </si>
  <si>
    <t xml:space="preserve">Clean dataset</t>
  </si>
  <si>
    <t xml:space="preserve">02_clean.csv, label = label</t>
  </si>
  <si>
    <t xml:space="preserve">1. Upload and run.</t>
  </si>
  <si>
    <t xml:space="preserve">Score 100 in green, verdict 'Ready for training'. 8 PASSED, 0 warnings, 0 failed. What to fix: 'No major issues found.'</t>
  </si>
  <si>
    <t xml:space="preserve">Clean dataset report displayed score 100 in green, verdict Ready for training, 8 passed checks, 0 warnings, and 0 failed checks. What to fix displayed No major issues found.</t>
  </si>
  <si>
    <t xml:space="preserve">TC-035</t>
  </si>
  <si>
    <t xml:space="preserve">Default open/closed state</t>
  </si>
  <si>
    <t xml:space="preserve">1. Open the report.</t>
  </si>
  <si>
    <t xml:space="preserve">All failed and warning checks are expanded. (No passed checks in this file.)</t>
  </si>
  <si>
    <t xml:space="preserve">All failed and warning checks were expanded by default when the report opened. No passed checks were present for this dataset.</t>
  </si>
  <si>
    <t xml:space="preserve">TC-036</t>
  </si>
  <si>
    <t xml:space="preserve">Expand / collapse a check</t>
  </si>
  <si>
    <t xml:space="preserve">1. Click a check's title row.
2. Click again.</t>
  </si>
  <si>
    <t xml:space="preserve">Details close, arrow flips. Second click opens it again.</t>
  </si>
  <si>
    <t xml:space="preserve">Clicking a check's title row collapsed its details and changed the arrow direction. Clicking it again reopened the details.</t>
  </si>
  <si>
    <t xml:space="preserve">TC-037</t>
  </si>
  <si>
    <t xml:space="preserve">Filter: Failed</t>
  </si>
  <si>
    <t xml:space="preserve">1. Click 'Failed (2)'.</t>
  </si>
  <si>
    <t xml:space="preserve">Only 'Duplicate rows' and 'Infinite values' are shown.</t>
  </si>
  <si>
    <t xml:space="preserve">Clicking Failed (2) displayed only the Duplicate rows and Infinite values checks.</t>
  </si>
  <si>
    <t xml:space="preserve">TC-038</t>
  </si>
  <si>
    <t xml:space="preserve">Filter: Warnings</t>
  </si>
  <si>
    <t xml:space="preserve">1. Click 'Warnings (6)'.</t>
  </si>
  <si>
    <t xml:space="preserve">Exactly 6 checks shown, all with WARN badge.</t>
  </si>
  <si>
    <t xml:space="preserve">Clicking Warnings (6) displayed exactly 6 checks, and every check had a WARN badge.</t>
  </si>
  <si>
    <t xml:space="preserve">TC-039</t>
  </si>
  <si>
    <t xml:space="preserve">Filter: Passed (empty)</t>
  </si>
  <si>
    <t xml:space="preserve">1. Click 'Passed (0)'.</t>
  </si>
  <si>
    <t xml:space="preserve">No checks shown and the message 'No checks in this category.' appears.</t>
  </si>
  <si>
    <t xml:space="preserve">Clicking Passed (0) displayed no checks and showed the message No checks in this category.</t>
  </si>
  <si>
    <t xml:space="preserve">TC-040</t>
  </si>
  <si>
    <t xml:space="preserve">Filter: All</t>
  </si>
  <si>
    <t xml:space="preserve">1. Click any filter.
2. Click 'All (8)'.</t>
  </si>
  <si>
    <t xml:space="preserve">All 8 checks visible again.</t>
  </si>
  <si>
    <t xml:space="preserve">After selecting a status filter, clicking All (8) displayed all 8 quality checks again.</t>
  </si>
  <si>
    <t xml:space="preserve">TC-041</t>
  </si>
  <si>
    <t xml:space="preserve">Column profile tab</t>
  </si>
  <si>
    <t xml:space="preserve">1. Click 'Column profile'.</t>
  </si>
  <si>
    <t xml:space="preserve">7 rows. duration shows 13.33% missing. Each row has type, unique count and up to 3 examples.</t>
  </si>
  <si>
    <t xml:space="preserve">Column profile displayed 7 rows; duration showed 13.33% missing; each row displayed type, unique count, and up to 3 examples.</t>
  </si>
  <si>
    <t xml:space="preserve">TC-042</t>
  </si>
  <si>
    <t xml:space="preserve">Column search</t>
  </si>
  <si>
    <t xml:space="preserve">1. In Column profile type 'byte'.</t>
  </si>
  <si>
    <t xml:space="preserve">Only bytes_sent and bytes_kb remain. Clearing the box shows all 7 again.</t>
  </si>
  <si>
    <t xml:space="preserve">Searching for “byte” showed only bytes_sent and bytes_kb; clearing the search restored all 7 columns.</t>
  </si>
  <si>
    <t xml:space="preserve">TC-043</t>
  </si>
  <si>
    <t xml:space="preserve">Sort by Missing</t>
  </si>
  <si>
    <t xml:space="preserve">1. Click the 'Missing' heading.
2. Click it again.</t>
  </si>
  <si>
    <t xml:space="preserve">Rows sort by missing %; on one of the two clicks duration is at the top. Each click reverses the order.</t>
  </si>
  <si>
    <t xml:space="preserve">Clicking Missing sorted columns by missing percentage; duration appeared at the top on one click, and the next click reversed the order.</t>
  </si>
  <si>
    <t xml:space="preserve">TC-044</t>
  </si>
  <si>
    <t xml:space="preserve">Sort by Column name</t>
  </si>
  <si>
    <t xml:space="preserve">1. Click the 'Column' heading.</t>
  </si>
  <si>
    <t xml:space="preserve">Rows sort alphabetically; next click reverses.</t>
  </si>
  <si>
    <t xml:space="preserve">Clicking Column sorted the rows alphabetically by column name; clicking again reversed the order.</t>
  </si>
  <si>
    <t xml:space="preserve">TC-045</t>
  </si>
  <si>
    <t xml:space="preserve">Data preview tab</t>
  </si>
  <si>
    <t xml:space="preserve">1. Click 'Data preview'.</t>
  </si>
  <si>
    <t xml:space="preserve">First 10 rows, 7 columns. Empty duration cells shaded light red.</t>
  </si>
  <si>
    <t xml:space="preserve">Data preview displayed the first 10 rows and 7 columns; empty duration cells were shaded light red.</t>
  </si>
  <si>
    <t xml:space="preserve">TC-046</t>
  </si>
  <si>
    <t xml:space="preserve">Download JSON report</t>
  </si>
  <si>
    <t xml:space="preserve">1. Click 'Download report (JSON)'.
2. Open the downloaded file in Notepad.</t>
  </si>
  <si>
    <t xml:space="preserve">File 'sample_data_quality_report.json' downloads. It is readable JSON and contains "score": 49.</t>
  </si>
  <si>
    <t xml:space="preserve">Downloaded sample_data_quality_report.json; the file contained readable JSON and the score value 49.</t>
  </si>
  <si>
    <t xml:space="preserve">TC-047</t>
  </si>
  <si>
    <t xml:space="preserve">Check another file</t>
  </si>
  <si>
    <t xml:space="preserve">1. Click 'Check another file'.</t>
  </si>
  <si>
    <t xml:space="preserve">Returns to the home page in its empty starting state.</t>
  </si>
  <si>
    <t xml:space="preserve">Clicking Check another file returned to the home page in its empty starting state.</t>
  </si>
  <si>
    <t xml:space="preserve">TC-048</t>
  </si>
  <si>
    <t xml:space="preserve">Score ring animation</t>
  </si>
  <si>
    <t xml:space="preserve">1. Open a report and watch the ring.</t>
  </si>
  <si>
    <t xml:space="preserve">Coloured arc grows smoothly to the score within about 1 second.</t>
  </si>
  <si>
    <t xml:space="preserve">The coloured score-ring arc animated smoothly and reached the final score within approximately 1 second.</t>
  </si>
  <si>
    <t xml:space="preserve">TC-049</t>
  </si>
  <si>
    <t xml:space="preserve">Header row only</t>
  </si>
  <si>
    <t xml:space="preserve">03_header_only.csv</t>
  </si>
  <si>
    <t xml:space="preserve">Stays on home page with red error 'The file has no data rows.'</t>
  </si>
  <si>
    <t xml:space="preserve">Uploading 03_header_only.csv displayed the red error “The file has no data rows.” and no report was generated. But The error message “The file has no data rows” remained visible after moving to the next dataset.</t>
  </si>
  <si>
    <t xml:space="preserve">TC-050</t>
  </si>
  <si>
    <t xml:space="preserve">Single data row</t>
  </si>
  <si>
    <t xml:space="preserve">05_one_row.csv, label = label</t>
  </si>
  <si>
    <t xml:space="preserve">Report loads (no crash). Rows 1. Dataset size WARN 'Only 1 row(s)'. Score 85.</t>
  </si>
  <si>
    <t xml:space="preserve">Report loaded without crashing; Rows = 1, dataset-size check showed WARN “Only 1 row(s)”, and score = 85.</t>
  </si>
  <si>
    <t xml:space="preserve">Tested using 05_one_row.csv</t>
  </si>
  <si>
    <t xml:space="preserve">TC-051</t>
  </si>
  <si>
    <t xml:space="preserve">Single column</t>
  </si>
  <si>
    <t xml:space="preserve">06_single_column.csv, label = None</t>
  </si>
  <si>
    <t xml:space="preserve">Report loads. Columns 1. Duplicate rows FAIL. Score 85.</t>
  </si>
  <si>
    <t xml:space="preserve">Report loaded successfully; Columns = 1, Duplicate rows check showed FAIL, and score = 85.</t>
  </si>
  <si>
    <t xml:space="preserve">Tested using 06_single_column.csv</t>
  </si>
  <si>
    <t xml:space="preserve">TC-052</t>
  </si>
  <si>
    <t xml:space="preserve">Text-only columns</t>
  </si>
  <si>
    <t xml:space="preserve">07_text_only.csv, label = label</t>
  </si>
  <si>
    <t xml:space="preserve">Report loads. Numeric 0. Outliers and correlations PASS. Score 100.</t>
  </si>
  <si>
    <t xml:space="preserve">Report loaded successfully; Numeric = 0, Outliers and Correlations checks showed PASS, and score = 100.</t>
  </si>
  <si>
    <t xml:space="preserve">Tested using 07_text_only.csv</t>
  </si>
  <si>
    <t xml:space="preserve">TC-053</t>
  </si>
  <si>
    <t xml:space="preserve">Latin-1 encoding</t>
  </si>
  <si>
    <t xml:space="preserve">08_latin1_encoding.csv, label = None</t>
  </si>
  <si>
    <t xml:space="preserve">1. Upload and run.
2. Open Data preview tab.</t>
  </si>
  <si>
    <t xml:space="preserve">Report loads. Names José, Müller, François display correctly (no � symbols).</t>
  </si>
  <si>
    <t xml:space="preserve">Report loaded successfully; José, Müller, and François displayed correctly in Data preview without replacement characters.</t>
  </si>
  <si>
    <t xml:space="preserve">Tested using 08_latin1_encoding.csv</t>
  </si>
  <si>
    <t xml:space="preserve">TC-054</t>
  </si>
  <si>
    <t xml:space="preserve">Semicolon separated</t>
  </si>
  <si>
    <t xml:space="preserve">09_semicolon_separated.csv, label = None</t>
  </si>
  <si>
    <t xml:space="preserve">Yellow note: 'This file uses semicolon-separated values; it was detected automatically.' Columns 3. Score 97.</t>
  </si>
  <si>
    <t xml:space="preserve">Yellow notice confirmed automatic detection of semicolon-separated values; Columns = 3 and score = 97.</t>
  </si>
  <si>
    <t xml:space="preserve">TC-055</t>
  </si>
  <si>
    <t xml:space="preserve">Quoted commas inside values</t>
  </si>
  <si>
    <t xml:space="preserve">10_quoted_commas.csv, label = label</t>
  </si>
  <si>
    <t xml:space="preserve">Columns 3, Rows 3. Addresses not split. Class balance PASS. Score 100.</t>
  </si>
  <si>
    <t xml:space="preserve">Report showed 3 columns and 3 rows; addresses containing commas remained intact, Class balance showed PASS, and score = 100.</t>
  </si>
  <si>
    <t xml:space="preserve">TC-056</t>
  </si>
  <si>
    <t xml:space="preserve">Very wide file (120 columns)</t>
  </si>
  <si>
    <t xml:space="preserve">11_wide_120_columns.csv, label = None</t>
  </si>
  <si>
    <t xml:space="preserve">1. Upload and run.
2. Check Column profile and Data preview.</t>
  </si>
  <si>
    <t xml:space="preserve">Columns 120. Page does not break; wide tables scroll sideways inside their box. Search 'f11' finds f11 and f110–f119.</t>
  </si>
  <si>
    <t xml:space="preserve">Report handled all 120 columns without breaking; wide tables scrolled horizontally, and searching f11 found f11 and f110–f119.</t>
  </si>
  <si>
    <t xml:space="preserve">Tested using 11_wide_120_columns.csv</t>
  </si>
  <si>
    <t xml:space="preserve">TC-057</t>
  </si>
  <si>
    <t xml:space="preserve">Urdu column names</t>
  </si>
  <si>
    <t xml:space="preserve">12_urdu_unicode_headers.csv, label = label</t>
  </si>
  <si>
    <t xml:space="preserve">Report loads, Urdu names readable. Missing values FAIL (عمر 33.33%). Score 78.</t>
  </si>
  <si>
    <t xml:space="preserve">Report loaded successfully; Urdu column names were readable, Missing values showed FAIL with عمر at 33.33% missing, and score = 78.</t>
  </si>
  <si>
    <t xml:space="preserve">TC-058</t>
  </si>
  <si>
    <t xml:space="preserve">Duplicate column names</t>
  </si>
  <si>
    <t xml:space="preserve">13_duplicate_column_names.csv, label = None</t>
  </si>
  <si>
    <t xml:space="preserve">Yellow note: 'Duplicate column names found: a…'. Column profile shows a, a.1, b.</t>
  </si>
  <si>
    <t xml:space="preserve">Yellow notice identified duplicate column names; Column profile displayed a, a.1, and b.</t>
  </si>
  <si>
    <t xml:space="preserve">Tested using 13_duplicate_column_names.csv</t>
  </si>
  <si>
    <t xml:space="preserve">TC-059</t>
  </si>
  <si>
    <t xml:space="preserve">Fully empty column</t>
  </si>
  <si>
    <t xml:space="preserve">14_all_missing_column.csv, label = label</t>
  </si>
  <si>
    <t xml:space="preserve">Missing values FAIL with empty_col at 100%. What to fix says to consider dropping it. Score 55.</t>
  </si>
  <si>
    <t xml:space="preserve">Missing values showed FAIL; empty_col was reported as 100% missing, What to fix recommended considering dropping it, and score = 55.</t>
  </si>
  <si>
    <t xml:space="preserve">Tested using 14_all_missing_column.csv</t>
  </si>
  <si>
    <t xml:space="preserve">TC-060</t>
  </si>
  <si>
    <t xml:space="preserve">Many classes (40)</t>
  </si>
  <si>
    <t xml:space="preserve">15_many_classes.csv, label = label</t>
  </si>
  <si>
    <t xml:space="preserve">1. Upload and run.
2. Open Class balance.</t>
  </si>
  <si>
    <t xml:space="preserve">Chart and table show 40 classes. Ratio 1.0:1, PASS. Chart still readable.</t>
  </si>
  <si>
    <t xml:space="preserve">Report displayed all 40 classes in the chart and table; class balance ratio was 1.0:1, status was PASS, and the chart remained readable.</t>
  </si>
  <si>
    <t xml:space="preserve">Tested using 15_many_classes.csv</t>
  </si>
  <si>
    <t xml:space="preserve">TC-061</t>
  </si>
  <si>
    <t xml:space="preserve">Missing values in label</t>
  </si>
  <si>
    <t xml:space="preserve">16_label_with_missing.csv, label = label</t>
  </si>
  <si>
    <t xml:space="preserve">A class called '(missing)' with 2 rows appears (not 'nan'). Score 70.</t>
  </si>
  <si>
    <t xml:space="preserve">Class balance displayed a class named (missing) with 2 rows, not nan; score = 70.</t>
  </si>
  <si>
    <t xml:space="preserve">Tested using 16_label_with_missing.csv</t>
  </si>
  <si>
    <t xml:space="preserve">TC-062</t>
  </si>
  <si>
    <t xml:space="preserve">Script injection in names (security)</t>
  </si>
  <si>
    <t xml:space="preserve">17_xss_names.csv, label = label</t>
  </si>
  <si>
    <t xml:space="preserve">1. Select file and look at preview and dropdown.
2. Run and open every tab.</t>
  </si>
  <si>
    <t xml:space="preserve">NO pop-up alert appears at any point. Text like &lt;script&gt;alert(1)&lt;/script&gt; is shown as plain text.</t>
  </si>
  <si>
    <t xml:space="preserve">No pop-up alert appeared; script-like text was displayed as plain text in the preview, dropdown, and report tabs.</t>
  </si>
  <si>
    <t xml:space="preserve">Tested using 17_xss_names.csv</t>
  </si>
  <si>
    <t xml:space="preserve">TC-063</t>
  </si>
  <si>
    <t xml:space="preserve">Uppercase .CSV extension</t>
  </si>
  <si>
    <t xml:space="preserve">18_UPPERCASE_EXT.CSV, label = None</t>
  </si>
  <si>
    <t xml:space="preserve">Accepted. Report loads.</t>
  </si>
  <si>
    <t xml:space="preserve">The file 18_UPPERCASE_EXT.CSV was accepted and the report loaded successfully.</t>
  </si>
  <si>
    <t xml:space="preserve">Tested using 18_UPPERCASE_EXT.CSV</t>
  </si>
  <si>
    <t xml:space="preserve">TC-064</t>
  </si>
  <si>
    <t xml:space="preserve">File name with spaces</t>
  </si>
  <si>
    <t xml:space="preserve">19 file name with spaces.csv, label = None</t>
  </si>
  <si>
    <t xml:space="preserve">1. Upload and run.
2. Download JSON.</t>
  </si>
  <si>
    <t xml:space="preserve">Report shows the full file name. JSON downloads as '19 file name with spaces_quality_report.json'.</t>
  </si>
  <si>
    <t xml:space="preserve">Report displayed the full filename, and the JSON downloaded as 19 file name with spaces_quality_report.json.</t>
  </si>
  <si>
    <t xml:space="preserve">Tested using 19 file name with spaces.csv</t>
  </si>
  <si>
    <t xml:space="preserve">TC-065</t>
  </si>
  <si>
    <t xml:space="preserve">Blank lines in file</t>
  </si>
  <si>
    <t xml:space="preserve">20_blank_lines.csv, label = None</t>
  </si>
  <si>
    <t xml:space="preserve">Rows 2 (blank lines ignored).</t>
  </si>
  <si>
    <t xml:space="preserve">Report loaded successfully and displayed 2 rows; blank lines were ignored.</t>
  </si>
  <si>
    <t xml:space="preserve">Tested using 20_blank_lines.csv</t>
  </si>
  <si>
    <t xml:space="preserve">TC-066</t>
  </si>
  <si>
    <t xml:space="preserve">Binary file renamed to .csv</t>
  </si>
  <si>
    <t xml:space="preserve">21_image_renamed.csv</t>
  </si>
  <si>
    <t xml:space="preserve">Red error: 'This looks like a binary file (for example an image or an Excel file renamed to .csv), not a text CSV file.'</t>
  </si>
  <si>
    <t xml:space="preserve">Binary file renamed to .csv was rejected with the expected red error message; no report was generated. BUT The error “This looks like a binary file (for example an image or an Excel file renamed to .csv), not a text CSV file.” remained visible after moving to the next dataset.</t>
  </si>
  <si>
    <t xml:space="preserve">Stale binary-file validation error persists after selecting a new dataset.</t>
  </si>
  <si>
    <t xml:space="preserve">TC-067</t>
  </si>
  <si>
    <t xml:space="preserve">Large valid file (7 MB)</t>
  </si>
  <si>
    <t xml:space="preserve">23_large_7MB.csv, label = label</t>
  </si>
  <si>
    <t xml:space="preserve">1. Upload and run.
2. Time it from click to report.</t>
  </si>
  <si>
    <t xml:space="preserve">Report opens (note the time in Actual result; expect under ~15 s). Rows 230,000 with comma separator. Score 93.</t>
  </si>
  <si>
    <t xml:space="preserve">Report opened in 9 seconds; Rows = 230,000, comma separator was used, and score = 93.</t>
  </si>
  <si>
    <t xml:space="preserve">Tested using 23_large_7MB.csv</t>
  </si>
  <si>
    <t xml:space="preserve">TC-068</t>
  </si>
  <si>
    <t xml:space="preserve">Mobile layout: home page</t>
  </si>
  <si>
    <t xml:space="preserve">1. Open on a phone, or press F12 → device toolbar → 390 px wide.</t>
  </si>
  <si>
    <t xml:space="preserve">Single-column layout. No sideways scrolling of the whole page. Everything readable.</t>
  </si>
  <si>
    <t xml:space="preserve">At 390 px viewport width, the home page used a single-column layout, remained readable, and had no sideways scrolling of the whole page.</t>
  </si>
  <si>
    <t xml:space="preserve">TC-069</t>
  </si>
  <si>
    <t xml:space="preserve">Mobile layout: report</t>
  </si>
  <si>
    <t xml:space="preserve">1. Open a report at 390 px wide.</t>
  </si>
  <si>
    <t xml:space="preserve">Score card on top, stats in 2×2 grid. Tables scroll sideways inside their own box.</t>
  </si>
  <si>
    <t xml:space="preserve">At 390 px, the score card appeared at the top, statistics used a 2 × 2 grid, and tables scrolled horizontally within their containers.</t>
  </si>
  <si>
    <t xml:space="preserve">TC-070</t>
  </si>
  <si>
    <t xml:space="preserve">Other browsers</t>
  </si>
  <si>
    <t xml:space="preserve">1. In Chrome, Edge, Firefox and Opera repeat: select file, run, filter Failed, download JSON.</t>
  </si>
  <si>
    <t xml:space="preserve">Same behaviour in every browser. Write which browsers were tested in Actual result.</t>
  </si>
  <si>
    <t xml:space="preserve">Opening the application in Opera, Microsoft Edge, and Firefox displayed “Method Not Allowed.” The application could not be tested in those browsers.</t>
  </si>
  <si>
    <t xml:space="preserve">Reproduced in Opera, Edge, and Firefox.</t>
  </si>
  <si>
    <t xml:space="preserve">TC-071</t>
  </si>
  <si>
    <t xml:space="preserve">Zoom 200%</t>
  </si>
  <si>
    <t xml:space="preserve">1. Press Ctrl and + until zoom is 200%.</t>
  </si>
  <si>
    <t xml:space="preserve">Page still usable; no overlapping text or hidden buttons.</t>
  </si>
  <si>
    <t xml:space="preserve">At 200% browser zoom, the report remained usable, with no overlapping text or hidden buttons, and the controls worked correctly.</t>
  </si>
  <si>
    <t xml:space="preserve">TC-072</t>
  </si>
  <si>
    <t xml:space="preserve">Refresh report page</t>
  </si>
  <si>
    <t xml:space="preserve">1. On a report press F5.</t>
  </si>
  <si>
    <t xml:space="preserve">Browser asks to resend form data; after confirming, the same report shows. (Expected browser behaviour — note it, not a bug.)</t>
  </si>
  <si>
    <t xml:space="preserve">Refreshing the report and confirming form resubmission displayed the same report again, and it remained usable.</t>
  </si>
  <si>
    <t xml:space="preserve">Add one row per failed test. Row 2 is an example — leave it or delete it.</t>
  </si>
  <si>
    <t xml:space="preserve">Bug ID</t>
  </si>
  <si>
    <t xml:space="preserve">Title</t>
  </si>
  <si>
    <t xml:space="preserve">Steps to reproduce</t>
  </si>
  <si>
    <t xml:space="preserve">Expected</t>
  </si>
  <si>
    <t xml:space="preserve">Actual</t>
  </si>
  <si>
    <t xml:space="preserve">Screenshot / notes</t>
  </si>
  <si>
    <t xml:space="preserve">B-001</t>
  </si>
  <si>
    <t xml:space="preserve">Previous validation error persists after selecting a new dataset</t>
  </si>
  <si>
    <t xml:space="preserve">Upload 03_header_only.csv.
Confirm that the error “The file has no data rows” appears.
Move to the next dataset, 05_one_row.csv.
Observe the error message.</t>
  </si>
  <si>
    <t xml:space="preserve">The previous error should clear when a new dataset is selected. The application should validate the new dataset independently.</t>
  </si>
  <si>
    <t xml:space="preserve">The previous “The file has no data rows” error remains visible after moving to the next dataset.</t>
  </si>
  <si>
    <t xml:space="preserve">Retest</t>
  </si>
  <si>
    <t xml:space="preserve">Fixed 12 Oct 2026 (commit 119d52d). Retest pending.</t>
  </si>
  <si>
    <t xml:space="preserve">B-002</t>
  </si>
  <si>
    <t xml:space="preserve">Binary-file validation error persists after selecting a new dataset</t>
  </si>
  <si>
    <t xml:space="preserve">Upload 21_image_renamed.csv.
Confirm that the binary-file validation error appears.
Move to the next test case and select a different valid CSV file.
Observe the validation message.</t>
  </si>
  <si>
    <t xml:space="preserve">The previous binary-file error clears when a new file is selected. The application validates the new file independently.</t>
  </si>
  <si>
    <t xml:space="preserve">The previous binary-file error remains visible after selecting the next dataset.</t>
  </si>
  <si>
    <t xml:space="preserve">B-003</t>
  </si>
  <si>
    <t xml:space="preserve">Application displays “Method Not Allowed” in multiple browsers</t>
  </si>
  <si>
    <t xml:space="preserve">Open https://saabz.pythonanywhere.com/dqc/ in Opera.
Observe the response.
Repeat in Microsoft Edge and Firefox.</t>
  </si>
  <si>
    <t xml:space="preserve">The application home page loads, allowing the user to upload a CSV and run the quality check.
</t>
  </si>
  <si>
    <t xml:space="preserve">Opera, Microsoft Edge, and Firefox display “Method Not Allowed,” preventing further testing.</t>
  </si>
  <si>
    <t xml:space="preserve">File (in qa_test_data.zip)</t>
  </si>
  <si>
    <t xml:space="preserve">What it tests</t>
  </si>
  <si>
    <t xml:space="preserve">15 rows with planted problems: missing values, duplicates, constant column, infinite values, outliers, correlated columns, imbalanced classes.</t>
  </si>
  <si>
    <t xml:space="preserve">02_clean.csv</t>
  </si>
  <si>
    <t xml:space="preserve">200 clean rows - should score 100.</t>
  </si>
  <si>
    <t xml:space="preserve">Column names but no data rows.</t>
  </si>
  <si>
    <t xml:space="preserve">Completely empty file (0 bytes).</t>
  </si>
  <si>
    <t xml:space="preserve">05_one_row.csv</t>
  </si>
  <si>
    <t xml:space="preserve">Only one data row.</t>
  </si>
  <si>
    <t xml:space="preserve">06_single_column.csv</t>
  </si>
  <si>
    <t xml:space="preserve">One numeric column, 50 rows (contains repeated values).</t>
  </si>
  <si>
    <t xml:space="preserve">07_text_only.csv</t>
  </si>
  <si>
    <t xml:space="preserve">No numeric columns at all.</t>
  </si>
  <si>
    <t xml:space="preserve">08_latin1_encoding.csv</t>
  </si>
  <si>
    <t xml:space="preserve">Accented names saved in Latin-1 (old Excel) encoding.</t>
  </si>
  <si>
    <t xml:space="preserve">Uses ; instead of , between values (common in European Excel).</t>
  </si>
  <si>
    <t xml:space="preserve">Values that contain commas inside quotes.</t>
  </si>
  <si>
    <t xml:space="preserve">11_wide_120_columns.csv</t>
  </si>
  <si>
    <t xml:space="preserve">120 columns, 100 rows.</t>
  </si>
  <si>
    <t xml:space="preserve">Urdu column names and values.</t>
  </si>
  <si>
    <t xml:space="preserve">13_duplicate_column_names.csv</t>
  </si>
  <si>
    <t xml:space="preserve">Two columns both called 'a'.</t>
  </si>
  <si>
    <t xml:space="preserve">14_all_missing_column.csv</t>
  </si>
  <si>
    <t xml:space="preserve">One column that is completely empty.</t>
  </si>
  <si>
    <t xml:space="preserve">15_many_classes.csv</t>
  </si>
  <si>
    <t xml:space="preserve">Label column with 40 different classes.</t>
  </si>
  <si>
    <t xml:space="preserve">16_label_with_missing.csv</t>
  </si>
  <si>
    <t xml:space="preserve">Label column with 2 empty values.</t>
  </si>
  <si>
    <t xml:space="preserve">17_xss_names.csv</t>
  </si>
  <si>
    <t xml:space="preserve">Column names and values containing HTML/JavaScript (security test).</t>
  </si>
  <si>
    <t xml:space="preserve">18_UPPERCASE_EXT.CSV</t>
  </si>
  <si>
    <t xml:space="preserve">Extension written in capitals.</t>
  </si>
  <si>
    <t xml:space="preserve">19 file name with spaces.csv</t>
  </si>
  <si>
    <t xml:space="preserve">File name containing spaces.</t>
  </si>
  <si>
    <t xml:space="preserve">20_blank_lines.csv</t>
  </si>
  <si>
    <t xml:space="preserve">Empty lines between data rows.</t>
  </si>
  <si>
    <t xml:space="preserve">Binary data with a .csv name.</t>
  </si>
  <si>
    <t xml:space="preserve">A .txt file - should be rejected.</t>
  </si>
  <si>
    <t xml:space="preserve">23_large_7MB.csv</t>
  </si>
  <si>
    <t xml:space="preserve">230,000 rows (~7 MB) - performance test.</t>
  </si>
  <si>
    <t xml:space="preserve">~11 MB - over the 10 MB limit.</t>
  </si>
</sst>
</file>

<file path=xl/styles.xml><?xml version="1.0" encoding="utf-8"?>
<styleSheet xmlns="http://schemas.openxmlformats.org/spreadsheetml/2006/main">
  <numFmts count="3">
    <numFmt numFmtId="164" formatCode="General"/>
    <numFmt numFmtId="165" formatCode="dd\ mmm\ yyyy"/>
    <numFmt numFmtId="166" formatCode="0%"/>
  </numFmts>
  <fonts count="16">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color rgb="FF5D6878"/>
      <name val="Arial"/>
      <family val="0"/>
      <charset val="1"/>
    </font>
    <font>
      <b val="true"/>
      <sz val="12"/>
      <name val="Arial"/>
      <family val="0"/>
      <charset val="1"/>
    </font>
    <font>
      <b val="true"/>
      <sz val="10"/>
      <name val="Arial"/>
      <family val="0"/>
      <charset val="1"/>
    </font>
    <font>
      <sz val="10"/>
      <name val="Arial"/>
      <family val="0"/>
      <charset val="1"/>
    </font>
    <font>
      <u val="single"/>
      <sz val="11"/>
      <color theme="10"/>
      <name val="Calibri"/>
      <family val="2"/>
      <charset val="1"/>
    </font>
    <font>
      <b val="true"/>
      <sz val="10"/>
      <color rgb="FFFFFFFF"/>
      <name val="Arial"/>
      <family val="0"/>
      <charset val="1"/>
    </font>
    <font>
      <sz val="9"/>
      <color rgb="FF5D6878"/>
      <name val="Arial"/>
      <family val="0"/>
      <charset val="1"/>
    </font>
    <font>
      <b val="true"/>
      <sz val="10"/>
      <name val="Arial"/>
      <family val="2"/>
      <charset val="1"/>
    </font>
    <font>
      <sz val="10"/>
      <name val="Arial"/>
      <family val="2"/>
      <charset val="1"/>
    </font>
    <font>
      <i val="true"/>
      <sz val="9"/>
      <color rgb="FF5D6878"/>
      <name val="Arial"/>
      <family val="0"/>
      <charset val="1"/>
    </font>
    <font>
      <sz val="10"/>
      <name val="Consolas"/>
      <family val="0"/>
      <charset val="1"/>
    </font>
  </fonts>
  <fills count="5">
    <fill>
      <patternFill patternType="none"/>
    </fill>
    <fill>
      <patternFill patternType="gray125"/>
    </fill>
    <fill>
      <patternFill patternType="solid">
        <fgColor rgb="FFFFF8D6"/>
        <bgColor rgb="FFFBF1DF"/>
      </patternFill>
    </fill>
    <fill>
      <patternFill patternType="solid">
        <fgColor rgb="FF0F1726"/>
        <bgColor rgb="FF000000"/>
      </patternFill>
    </fill>
    <fill>
      <patternFill patternType="solid">
        <fgColor rgb="FFE8EEFD"/>
        <bgColor rgb="FFE5F4EC"/>
      </patternFill>
    </fill>
  </fills>
  <borders count="2">
    <border diagonalUp="false" diagonalDown="false">
      <left/>
      <right/>
      <top/>
      <bottom/>
      <diagonal/>
    </border>
    <border diagonalUp="false" diagonalDown="false">
      <left style="thin">
        <color rgb="FFD5DBE5"/>
      </left>
      <right style="thin">
        <color rgb="FFD5DBE5"/>
      </right>
      <top style="thin">
        <color rgb="FFD5DBE5"/>
      </top>
      <bottom style="thin">
        <color rgb="FFD5DB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6" fontId="7" fillId="4"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0F1726"/>
          <bgColor rgb="FF000000"/>
        </patternFill>
      </fill>
    </dxf>
    <dxf>
      <fill>
        <patternFill patternType="solid">
          <bgColor rgb="FF000000"/>
        </patternFill>
      </fill>
    </dxf>
    <dxf>
      <fill>
        <patternFill patternType="solid">
          <fgColor rgb="FFFFFFFF"/>
          <bgColor rgb="FF000000"/>
        </patternFill>
      </fill>
    </dxf>
    <dxf>
      <fill>
        <patternFill patternType="solid">
          <fgColor rgb="FFE8EEFD"/>
          <bgColor rgb="FF000000"/>
        </patternFill>
      </fill>
    </dxf>
    <dxf>
      <fill>
        <patternFill patternType="solid">
          <fgColor rgb="FFFFF8D6"/>
          <bgColor rgb="FF000000"/>
        </patternFill>
      </fill>
    </dxf>
    <dxf>
      <fill>
        <patternFill patternType="solid">
          <fgColor rgb="FFE5F4EC"/>
          <bgColor rgb="FF000000"/>
        </patternFill>
      </fill>
    </dxf>
    <dxf>
      <fill>
        <patternFill patternType="solid">
          <fgColor rgb="FFFBE7EA"/>
          <bgColor rgb="FF000000"/>
        </patternFill>
      </fill>
    </dxf>
    <dxf>
      <fill>
        <patternFill patternType="solid">
          <fgColor rgb="FF1F8A5B"/>
          <bgColor rgb="FF000000"/>
        </patternFill>
      </fill>
    </dxf>
    <dxf>
      <fill>
        <patternFill patternType="solid">
          <fgColor rgb="FFC8374B"/>
          <bgColor rgb="FF000000"/>
        </patternFill>
      </fill>
    </dxf>
    <dxf>
      <font>
        <name val="Arial"/>
        <charset val="1"/>
        <family val="0"/>
        <b val="1"/>
        <color rgb="FF1F8A5B"/>
      </font>
      <fill>
        <patternFill>
          <bgColor rgb="FFE5F4EC"/>
        </patternFill>
      </fill>
    </dxf>
    <dxf>
      <font>
        <name val="Arial"/>
        <charset val="1"/>
        <family val="0"/>
        <b val="1"/>
        <color rgb="FFC8374B"/>
      </font>
      <fill>
        <patternFill>
          <bgColor rgb="FFFBE7EA"/>
        </patternFill>
      </fill>
    </dxf>
    <dxf>
      <font>
        <name val="Arial"/>
        <charset val="1"/>
        <family val="0"/>
        <b val="1"/>
        <color rgb="FFB7791F"/>
      </font>
      <fill>
        <patternFill>
          <bgColor rgb="FFFBF1D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008080"/>
      <rgbColor rgb="FFC0C0C0"/>
      <rgbColor rgb="FF7A8597"/>
      <rgbColor rgb="FF9999FF"/>
      <rgbColor rgb="FFC8374B"/>
      <rgbColor rgb="FFFFF8D6"/>
      <rgbColor rgb="FFE5F4EC"/>
      <rgbColor rgb="FF660066"/>
      <rgbColor rgb="FFFF8080"/>
      <rgbColor rgb="FF0066CC"/>
      <rgbColor rgb="FFD5DBE5"/>
      <rgbColor rgb="FF000080"/>
      <rgbColor rgb="FFFF00FF"/>
      <rgbColor rgb="FFFFFF00"/>
      <rgbColor rgb="FF00FFFF"/>
      <rgbColor rgb="FF800080"/>
      <rgbColor rgb="FF800000"/>
      <rgbColor rgb="FF008080"/>
      <rgbColor rgb="FF0000FF"/>
      <rgbColor rgb="FF00CCFF"/>
      <rgbColor rgb="FFE8EEFD"/>
      <rgbColor rgb="FFFBE7EA"/>
      <rgbColor rgb="FFFBF1DF"/>
      <rgbColor rgb="FF99CCFF"/>
      <rgbColor rgb="FFFF99CC"/>
      <rgbColor rgb="FFCC99FF"/>
      <rgbColor rgb="FFFFCC99"/>
      <rgbColor rgb="FF2F5BEA"/>
      <rgbColor rgb="FF33CCCC"/>
      <rgbColor rgb="FF99CC00"/>
      <rgbColor rgb="FFFFCC00"/>
      <rgbColor rgb="FFFF9900"/>
      <rgbColor rgb="FFFF6600"/>
      <rgbColor rgb="FF5D6878"/>
      <rgbColor rgb="FF969696"/>
      <rgbColor rgb="FF003366"/>
      <rgbColor rgb="FF1F8A5B"/>
      <rgbColor rgb="FF0F1726"/>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53280</xdr:colOff>
      <xdr:row>49</xdr:row>
      <xdr:rowOff>0</xdr:rowOff>
    </xdr:from>
    <xdr:to>
      <xdr:col>9</xdr:col>
      <xdr:colOff>1789920</xdr:colOff>
      <xdr:row>49</xdr:row>
      <xdr:rowOff>772560</xdr:rowOff>
    </xdr:to>
    <xdr:pic>
      <xdr:nvPicPr>
        <xdr:cNvPr id="0" name="Picture 2" descr=""/>
        <xdr:cNvPicPr/>
      </xdr:nvPicPr>
      <xdr:blipFill>
        <a:blip r:embed="rId1"/>
        <a:stretch/>
      </xdr:blipFill>
      <xdr:spPr>
        <a:xfrm>
          <a:off x="16758360" y="21879000"/>
          <a:ext cx="1736640" cy="7725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57240</xdr:colOff>
      <xdr:row>2</xdr:row>
      <xdr:rowOff>57240</xdr:rowOff>
    </xdr:from>
    <xdr:to>
      <xdr:col>9</xdr:col>
      <xdr:colOff>10800</xdr:colOff>
      <xdr:row>2</xdr:row>
      <xdr:rowOff>867960</xdr:rowOff>
    </xdr:to>
    <xdr:pic>
      <xdr:nvPicPr>
        <xdr:cNvPr id="1" name="Picture 2" descr=""/>
        <xdr:cNvPicPr/>
      </xdr:nvPicPr>
      <xdr:blipFill>
        <a:blip r:embed="rId1"/>
        <a:stretch/>
      </xdr:blipFill>
      <xdr:spPr>
        <a:xfrm>
          <a:off x="12462480" y="419040"/>
          <a:ext cx="1786320" cy="810720"/>
        </a:xfrm>
        <a:prstGeom prst="rect">
          <a:avLst/>
        </a:prstGeom>
        <a:ln w="0">
          <a:noFill/>
        </a:ln>
      </xdr:spPr>
    </xdr:pic>
    <xdr:clientData/>
  </xdr:twoCellAnchor>
  <xdr:twoCellAnchor editAs="oneCell">
    <xdr:from>
      <xdr:col>8</xdr:col>
      <xdr:colOff>60840</xdr:colOff>
      <xdr:row>3</xdr:row>
      <xdr:rowOff>15120</xdr:rowOff>
    </xdr:from>
    <xdr:to>
      <xdr:col>9</xdr:col>
      <xdr:colOff>6480</xdr:colOff>
      <xdr:row>3</xdr:row>
      <xdr:rowOff>757440</xdr:rowOff>
    </xdr:to>
    <xdr:pic>
      <xdr:nvPicPr>
        <xdr:cNvPr id="2" name="Picture 4" descr=""/>
        <xdr:cNvPicPr/>
      </xdr:nvPicPr>
      <xdr:blipFill>
        <a:blip r:embed="rId2"/>
        <a:stretch/>
      </xdr:blipFill>
      <xdr:spPr>
        <a:xfrm>
          <a:off x="12466080" y="1291320"/>
          <a:ext cx="1778400" cy="742320"/>
        </a:xfrm>
        <a:prstGeom prst="rect">
          <a:avLst/>
        </a:prstGeom>
        <a:ln w="0">
          <a:noFill/>
        </a:ln>
      </xdr:spPr>
    </xdr:pic>
    <xdr:clientData/>
  </xdr:twoCellAnchor>
  <xdr:twoCellAnchor editAs="oneCell">
    <xdr:from>
      <xdr:col>8</xdr:col>
      <xdr:colOff>57240</xdr:colOff>
      <xdr:row>4</xdr:row>
      <xdr:rowOff>45720</xdr:rowOff>
    </xdr:from>
    <xdr:to>
      <xdr:col>8</xdr:col>
      <xdr:colOff>1816920</xdr:colOff>
      <xdr:row>4</xdr:row>
      <xdr:rowOff>761400</xdr:rowOff>
    </xdr:to>
    <xdr:pic>
      <xdr:nvPicPr>
        <xdr:cNvPr id="3" name="Picture 6" descr=""/>
        <xdr:cNvPicPr/>
      </xdr:nvPicPr>
      <xdr:blipFill>
        <a:blip r:embed="rId3"/>
        <a:stretch/>
      </xdr:blipFill>
      <xdr:spPr>
        <a:xfrm>
          <a:off x="12462480" y="2103120"/>
          <a:ext cx="1759680" cy="715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aabz.pythonanywhere.com/dqc/analyze"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BEA"/>
    <pageSetUpPr fitToPage="false"/>
  </sheetPr>
  <dimension ref="B2: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875" defaultRowHeight="14.2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90"/>
  </cols>
  <sheetData>
    <row r="2" customFormat="false" ht="19.5" hidden="false" customHeight="true" outlineLevel="0" collapsed="false">
      <c r="B2" s="2" t="s">
        <v>0</v>
      </c>
    </row>
    <row r="3" customFormat="false" ht="14.25" hidden="false" customHeight="true" outlineLevel="0" collapsed="false">
      <c r="B3" s="3" t="s">
        <v>1</v>
      </c>
    </row>
    <row r="5" customFormat="false" ht="15" hidden="false" customHeight="true" outlineLevel="0" collapsed="false">
      <c r="B5" s="4" t="s">
        <v>2</v>
      </c>
    </row>
    <row r="6" customFormat="false" ht="14.25" hidden="false" customHeight="true" outlineLevel="0" collapsed="false">
      <c r="B6" s="5" t="s">
        <v>3</v>
      </c>
      <c r="C6" s="6" t="s">
        <v>4</v>
      </c>
    </row>
    <row r="7" customFormat="false" ht="14.25" hidden="false" customHeight="true" outlineLevel="0" collapsed="false">
      <c r="B7" s="5" t="s">
        <v>5</v>
      </c>
      <c r="C7" s="6" t="s">
        <v>6</v>
      </c>
    </row>
    <row r="8" customFormat="false" ht="14.25" hidden="false" customHeight="true" outlineLevel="0" collapsed="false">
      <c r="B8" s="5" t="s">
        <v>7</v>
      </c>
      <c r="C8" s="6" t="s">
        <v>8</v>
      </c>
    </row>
    <row r="10" customFormat="false" ht="15" hidden="false" customHeight="true" outlineLevel="0" collapsed="false">
      <c r="B10" s="4" t="s">
        <v>9</v>
      </c>
    </row>
    <row r="11" customFormat="false" ht="14.25" hidden="false" customHeight="true" outlineLevel="0" collapsed="false">
      <c r="B11" s="7" t="s">
        <v>10</v>
      </c>
      <c r="C11" s="6" t="s">
        <v>11</v>
      </c>
    </row>
    <row r="12" customFormat="false" ht="14.25" hidden="false" customHeight="true" outlineLevel="0" collapsed="false">
      <c r="B12" s="7" t="s">
        <v>12</v>
      </c>
      <c r="C12" s="6" t="s">
        <v>13</v>
      </c>
    </row>
    <row r="13" customFormat="false" ht="24" hidden="false" customHeight="true" outlineLevel="0" collapsed="false">
      <c r="B13" s="7" t="s">
        <v>14</v>
      </c>
      <c r="C13" s="6" t="s">
        <v>15</v>
      </c>
    </row>
    <row r="14" customFormat="false" ht="14.25" hidden="false" customHeight="true" outlineLevel="0" collapsed="false">
      <c r="B14" s="7" t="s">
        <v>16</v>
      </c>
      <c r="C14" s="6" t="s">
        <v>17</v>
      </c>
    </row>
    <row r="15" customFormat="false" ht="14.25" hidden="false" customHeight="true" outlineLevel="0" collapsed="false">
      <c r="B15" s="7" t="s">
        <v>18</v>
      </c>
      <c r="C15" s="6" t="s">
        <v>19</v>
      </c>
    </row>
    <row r="16" customFormat="false" ht="14.25" hidden="false" customHeight="true" outlineLevel="0" collapsed="false">
      <c r="B16" s="5" t="s">
        <v>20</v>
      </c>
      <c r="C16" s="6" t="s">
        <v>21</v>
      </c>
    </row>
    <row r="18" customFormat="false" ht="15" hidden="false" customHeight="true" outlineLevel="0" collapsed="false">
      <c r="B18" s="4" t="s">
        <v>22</v>
      </c>
    </row>
    <row r="19" customFormat="false" ht="14.25" hidden="false" customHeight="true" outlineLevel="0" collapsed="false">
      <c r="B19" s="5" t="s">
        <v>23</v>
      </c>
      <c r="C19" s="6" t="s">
        <v>24</v>
      </c>
    </row>
    <row r="20" customFormat="false" ht="14.25" hidden="false" customHeight="true" outlineLevel="0" collapsed="false">
      <c r="B20" s="5" t="s">
        <v>10</v>
      </c>
      <c r="C20" s="6" t="s">
        <v>25</v>
      </c>
    </row>
    <row r="21" customFormat="false" ht="14.25" hidden="false" customHeight="true" outlineLevel="0" collapsed="false">
      <c r="B21" s="5" t="s">
        <v>12</v>
      </c>
      <c r="C21" s="6" t="s">
        <v>26</v>
      </c>
    </row>
    <row r="22" customFormat="false" ht="14.25" hidden="false" customHeight="true" outlineLevel="0" collapsed="false">
      <c r="B22" s="5" t="s">
        <v>14</v>
      </c>
      <c r="C22" s="6" t="s">
        <v>27</v>
      </c>
    </row>
    <row r="23" customFormat="false" ht="14.25" hidden="false" customHeight="true" outlineLevel="0" collapsed="false">
      <c r="B23" s="5" t="s">
        <v>16</v>
      </c>
      <c r="C23" s="6" t="s">
        <v>28</v>
      </c>
    </row>
    <row r="25" customFormat="false" ht="15" hidden="false" customHeight="true" outlineLevel="0" collapsed="false">
      <c r="B25" s="4" t="s">
        <v>29</v>
      </c>
    </row>
    <row r="26" customFormat="false" ht="14.25" hidden="false" customHeight="true" outlineLevel="0" collapsed="false">
      <c r="B26" s="7" t="s">
        <v>30</v>
      </c>
      <c r="C26" s="6" t="s">
        <v>31</v>
      </c>
    </row>
    <row r="27" customFormat="false" ht="14.25" hidden="false" customHeight="true" outlineLevel="0" collapsed="false">
      <c r="B27" s="7" t="s">
        <v>32</v>
      </c>
      <c r="C27" s="8" t="n">
        <v>46307</v>
      </c>
    </row>
    <row r="28" customFormat="false" ht="14.25" hidden="false" customHeight="true" outlineLevel="0" collapsed="false">
      <c r="B28" s="7" t="s">
        <v>33</v>
      </c>
      <c r="C28" s="6" t="s">
        <v>34</v>
      </c>
    </row>
    <row r="29" customFormat="false" ht="14.25" hidden="false" customHeight="true" outlineLevel="0" collapsed="false">
      <c r="B29" s="7" t="s">
        <v>35</v>
      </c>
      <c r="C29" s="9" t="s">
        <v>36</v>
      </c>
    </row>
  </sheetData>
  <hyperlinks>
    <hyperlink ref="C29" r:id="rId1" display="https://saabz.pythonanywhere.com/dqc/analyz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8A5B"/>
    <pageSetUpPr fitToPage="false"/>
  </sheetPr>
  <dimension ref="B2: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4.2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8" min="3" style="1" width="12"/>
  </cols>
  <sheetData>
    <row r="2" customFormat="false" ht="19.5" hidden="false" customHeight="true" outlineLevel="0" collapsed="false">
      <c r="B2" s="2" t="s">
        <v>37</v>
      </c>
    </row>
    <row r="3" customFormat="false" ht="14.25" hidden="false" customHeight="true" outlineLevel="0" collapsed="false">
      <c r="B3" s="3" t="s">
        <v>38</v>
      </c>
    </row>
    <row r="5" customFormat="false" ht="14.25" hidden="false" customHeight="true" outlineLevel="0" collapsed="false">
      <c r="B5" s="10" t="s">
        <v>39</v>
      </c>
      <c r="C5" s="10" t="s">
        <v>40</v>
      </c>
      <c r="D5" s="10" t="s">
        <v>26</v>
      </c>
      <c r="E5" s="10" t="s">
        <v>41</v>
      </c>
      <c r="F5" s="10" t="s">
        <v>42</v>
      </c>
      <c r="G5" s="10" t="s">
        <v>43</v>
      </c>
      <c r="H5" s="10" t="s">
        <v>44</v>
      </c>
    </row>
    <row r="6" customFormat="false" ht="14.25" hidden="false" customHeight="true" outlineLevel="0" collapsed="false">
      <c r="B6" s="11" t="s">
        <v>45</v>
      </c>
      <c r="C6" s="11" t="n">
        <f aca="false">COUNTIF('Test Cases'!$B$2:$B$73,B6)</f>
        <v>2</v>
      </c>
      <c r="D6" s="11" t="n">
        <f aca="false">COUNTIFS('Test Cases'!$B$2:$B$73,$B6,'Test Cases'!$H$2:$H$73,"Pass")</f>
        <v>2</v>
      </c>
      <c r="E6" s="11" t="n">
        <f aca="false">COUNTIFS('Test Cases'!$B$2:$B$73,$B6,'Test Cases'!$H$2:$H$73,"Fail")</f>
        <v>0</v>
      </c>
      <c r="F6" s="11" t="n">
        <f aca="false">COUNTIFS('Test Cases'!$B$2:$B$73,$B6,'Test Cases'!$H$2:$H$73,"Blocked")</f>
        <v>0</v>
      </c>
      <c r="G6" s="11" t="n">
        <f aca="false">COUNTIFS('Test Cases'!$B$2:$B$73,$B6,'Test Cases'!$H$2:$H$73,"Not run")</f>
        <v>0</v>
      </c>
      <c r="H6" s="12" t="n">
        <f aca="false">IFERROR(D6/(C6-G6),0)</f>
        <v>1</v>
      </c>
    </row>
    <row r="7" customFormat="false" ht="14.25" hidden="false" customHeight="true" outlineLevel="0" collapsed="false">
      <c r="B7" s="11" t="s">
        <v>46</v>
      </c>
      <c r="C7" s="11" t="n">
        <f aca="false">COUNTIF('Test Cases'!$B$2:$B$73,B7)</f>
        <v>18</v>
      </c>
      <c r="D7" s="11" t="n">
        <f aca="false">COUNTIFS('Test Cases'!$B$2:$B$73,$B7,'Test Cases'!$H$2:$H$73,"Pass")</f>
        <v>18</v>
      </c>
      <c r="E7" s="11" t="n">
        <f aca="false">COUNTIFS('Test Cases'!$B$2:$B$73,$B7,'Test Cases'!$H$2:$H$73,"Fail")</f>
        <v>0</v>
      </c>
      <c r="F7" s="11" t="n">
        <f aca="false">COUNTIFS('Test Cases'!$B$2:$B$73,$B7,'Test Cases'!$H$2:$H$73,"Blocked")</f>
        <v>0</v>
      </c>
      <c r="G7" s="11" t="n">
        <f aca="false">COUNTIFS('Test Cases'!$B$2:$B$73,$B7,'Test Cases'!$H$2:$H$73,"Not run")</f>
        <v>0</v>
      </c>
      <c r="H7" s="12" t="n">
        <f aca="false">IFERROR(D7/(C7-G7),0)</f>
        <v>1</v>
      </c>
    </row>
    <row r="8" customFormat="false" ht="14.25" hidden="false" customHeight="true" outlineLevel="0" collapsed="false">
      <c r="B8" s="11" t="s">
        <v>47</v>
      </c>
      <c r="C8" s="11" t="n">
        <f aca="false">COUNTIF('Test Cases'!$B$2:$B$73,B8)</f>
        <v>14</v>
      </c>
      <c r="D8" s="11" t="n">
        <f aca="false">COUNTIFS('Test Cases'!$B$2:$B$73,$B8,'Test Cases'!$H$2:$H$73,"Pass")</f>
        <v>14</v>
      </c>
      <c r="E8" s="11" t="n">
        <f aca="false">COUNTIFS('Test Cases'!$B$2:$B$73,$B8,'Test Cases'!$H$2:$H$73,"Fail")</f>
        <v>0</v>
      </c>
      <c r="F8" s="11" t="n">
        <f aca="false">COUNTIFS('Test Cases'!$B$2:$B$73,$B8,'Test Cases'!$H$2:$H$73,"Blocked")</f>
        <v>0</v>
      </c>
      <c r="G8" s="11" t="n">
        <f aca="false">COUNTIFS('Test Cases'!$B$2:$B$73,$B8,'Test Cases'!$H$2:$H$73,"Not run")</f>
        <v>0</v>
      </c>
      <c r="H8" s="12" t="n">
        <f aca="false">IFERROR(D8/(C8-G8),0)</f>
        <v>1</v>
      </c>
    </row>
    <row r="9" customFormat="false" ht="14.25" hidden="false" customHeight="true" outlineLevel="0" collapsed="false">
      <c r="B9" s="11" t="s">
        <v>48</v>
      </c>
      <c r="C9" s="11" t="n">
        <f aca="false">COUNTIF('Test Cases'!$B$2:$B$73,B9)</f>
        <v>14</v>
      </c>
      <c r="D9" s="11" t="n">
        <f aca="false">COUNTIFS('Test Cases'!$B$2:$B$73,$B9,'Test Cases'!$H$2:$H$73,"Pass")</f>
        <v>14</v>
      </c>
      <c r="E9" s="11" t="n">
        <f aca="false">COUNTIFS('Test Cases'!$B$2:$B$73,$B9,'Test Cases'!$H$2:$H$73,"Fail")</f>
        <v>0</v>
      </c>
      <c r="F9" s="11" t="n">
        <f aca="false">COUNTIFS('Test Cases'!$B$2:$B$73,$B9,'Test Cases'!$H$2:$H$73,"Blocked")</f>
        <v>0</v>
      </c>
      <c r="G9" s="11" t="n">
        <f aca="false">COUNTIFS('Test Cases'!$B$2:$B$73,$B9,'Test Cases'!$H$2:$H$73,"Not run")</f>
        <v>0</v>
      </c>
      <c r="H9" s="12" t="n">
        <f aca="false">IFERROR(D9/(C9-G9),0)</f>
        <v>1</v>
      </c>
    </row>
    <row r="10" customFormat="false" ht="14.25" hidden="false" customHeight="true" outlineLevel="0" collapsed="false">
      <c r="B10" s="11" t="s">
        <v>49</v>
      </c>
      <c r="C10" s="11" t="n">
        <f aca="false">COUNTIF('Test Cases'!$B$2:$B$73,B10)</f>
        <v>19</v>
      </c>
      <c r="D10" s="11" t="n">
        <f aca="false">COUNTIFS('Test Cases'!$B$2:$B$73,$B10,'Test Cases'!$H$2:$H$73,"Pass")</f>
        <v>17</v>
      </c>
      <c r="E10" s="11" t="n">
        <f aca="false">COUNTIFS('Test Cases'!$B$2:$B$73,$B10,'Test Cases'!$H$2:$H$73,"Fail")</f>
        <v>2</v>
      </c>
      <c r="F10" s="11" t="n">
        <f aca="false">COUNTIFS('Test Cases'!$B$2:$B$73,$B10,'Test Cases'!$H$2:$H$73,"Blocked")</f>
        <v>0</v>
      </c>
      <c r="G10" s="11" t="n">
        <f aca="false">COUNTIFS('Test Cases'!$B$2:$B$73,$B10,'Test Cases'!$H$2:$H$73,"Not run")</f>
        <v>0</v>
      </c>
      <c r="H10" s="12" t="n">
        <f aca="false">IFERROR(D10/(C10-G10),0)</f>
        <v>0.894736842105263</v>
      </c>
    </row>
    <row r="11" customFormat="false" ht="14.25" hidden="false" customHeight="true" outlineLevel="0" collapsed="false">
      <c r="B11" s="11" t="s">
        <v>50</v>
      </c>
      <c r="C11" s="11" t="n">
        <f aca="false">COUNTIF('Test Cases'!$B$2:$B$73,B11)</f>
        <v>5</v>
      </c>
      <c r="D11" s="11" t="n">
        <f aca="false">COUNTIFS('Test Cases'!$B$2:$B$73,$B11,'Test Cases'!$H$2:$H$73,"Pass")</f>
        <v>4</v>
      </c>
      <c r="E11" s="11" t="n">
        <f aca="false">COUNTIFS('Test Cases'!$B$2:$B$73,$B11,'Test Cases'!$H$2:$H$73,"Fail")</f>
        <v>1</v>
      </c>
      <c r="F11" s="11" t="n">
        <f aca="false">COUNTIFS('Test Cases'!$B$2:$B$73,$B11,'Test Cases'!$H$2:$H$73,"Blocked")</f>
        <v>0</v>
      </c>
      <c r="G11" s="11" t="n">
        <f aca="false">COUNTIFS('Test Cases'!$B$2:$B$73,$B11,'Test Cases'!$H$2:$H$73,"Not run")</f>
        <v>0</v>
      </c>
      <c r="H11" s="12" t="n">
        <f aca="false">IFERROR(D11/(C11-G11),0)</f>
        <v>0.8</v>
      </c>
    </row>
    <row r="12" customFormat="false" ht="14.25" hidden="false" customHeight="true" outlineLevel="0" collapsed="false">
      <c r="B12" s="13" t="s">
        <v>40</v>
      </c>
      <c r="C12" s="13" t="n">
        <f aca="false">SUM(C6:C11)</f>
        <v>72</v>
      </c>
      <c r="D12" s="13" t="n">
        <f aca="false">SUM(D6:D11)</f>
        <v>69</v>
      </c>
      <c r="E12" s="13" t="n">
        <f aca="false">SUM(E6:E11)</f>
        <v>3</v>
      </c>
      <c r="F12" s="13" t="n">
        <f aca="false">SUM(F6:F11)</f>
        <v>0</v>
      </c>
      <c r="G12" s="13" t="n">
        <f aca="false">SUM(G6:G11)</f>
        <v>0</v>
      </c>
      <c r="H12" s="14" t="n">
        <f aca="false">IFERROR(D12/(C12-G12),0)</f>
        <v>0.958333333333333</v>
      </c>
    </row>
    <row r="14" customFormat="false" ht="14.25" hidden="false" customHeight="true" outlineLevel="0" collapsed="false">
      <c r="B14" s="15" t="s">
        <v>51</v>
      </c>
    </row>
    <row r="16" customFormat="false" ht="15" hidden="false" customHeight="true" outlineLevel="0" collapsed="false">
      <c r="B16" s="4" t="s">
        <v>52</v>
      </c>
    </row>
    <row r="17" customFormat="false" ht="14.25" hidden="false" customHeight="true" outlineLevel="0" collapsed="false">
      <c r="B17" s="11" t="s">
        <v>53</v>
      </c>
      <c r="C17" s="11" t="n">
        <f aca="false">COUNTIFS('Bug Log'!$E$3:$E$199,B17,'Bug Log'!$H$3:$H$199,"&lt;&gt;Fixed",'Bug Log'!$H$3:$H$199,"&lt;&gt;Closed")</f>
        <v>0</v>
      </c>
    </row>
    <row r="18" customFormat="false" ht="14.25" hidden="false" customHeight="true" outlineLevel="0" collapsed="false">
      <c r="B18" s="11" t="s">
        <v>54</v>
      </c>
      <c r="C18" s="11" t="n">
        <f aca="false">COUNTIFS('Bug Log'!$E$3:$E$199,B18,'Bug Log'!$H$3:$H$199,"&lt;&gt;Fixed",'Bug Log'!$H$3:$H$199,"&lt;&gt;Closed")</f>
        <v>3</v>
      </c>
    </row>
    <row r="19" customFormat="false" ht="14.25" hidden="false" customHeight="true" outlineLevel="0" collapsed="false">
      <c r="B19" s="11" t="s">
        <v>55</v>
      </c>
      <c r="C19" s="11" t="n">
        <f aca="false">COUNTIFS('Bug Log'!$E$3:$E$199,B19,'Bug Log'!$H$3:$H$199,"&lt;&gt;Fixed",'Bug Log'!$H$3:$H$199,"&lt;&gt;Closed")</f>
        <v>0</v>
      </c>
    </row>
    <row r="20" customFormat="false" ht="14.25" hidden="false" customHeight="true" outlineLevel="0" collapsed="false">
      <c r="B20" s="11" t="s">
        <v>56</v>
      </c>
      <c r="C20" s="11" t="n">
        <f aca="false">COUNTIFS('Bug Log'!$E$3:$E$199,B20,'Bug Log'!$H$3:$H$199,"&lt;&gt;Fixed",'Bug Log'!$H$3:$H$199,"&lt;&gt;Closed")</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726"/>
    <pageSetUpPr fitToPage="false"/>
  </sheetPr>
  <dimension ref="A1:J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F2" activePane="bottomRight" state="frozen"/>
      <selection pane="topLeft" activeCell="A1" activeCellId="0" sqref="A1"/>
      <selection pane="topRight" activeCell="F1" activeCellId="0" sqref="F1"/>
      <selection pane="bottomLeft" activeCell="A2" activeCellId="0" sqref="A2"/>
      <selection pane="bottomRight" activeCell="J69" activeCellId="0" sqref="J69"/>
    </sheetView>
  </sheetViews>
  <sheetFormatPr defaultColWidth="8.6875" defaultRowHeight="14.25" zeroHeight="false" outlineLevelRow="0" outlineLevelCol="0"/>
  <cols>
    <col collapsed="false" customWidth="true" hidden="false" outlineLevel="0" max="1" min="1" style="1" width="9"/>
    <col collapsed="false" customWidth="true" hidden="false" outlineLevel="0" max="2" min="2" style="1" width="18"/>
    <col collapsed="false" customWidth="true" hidden="false" outlineLevel="0" max="3" min="3" style="1" width="28"/>
    <col collapsed="false" customWidth="true" hidden="false" outlineLevel="0" max="4" min="4" style="1" width="30"/>
    <col collapsed="false" customWidth="true" hidden="false" outlineLevel="0" max="5" min="5" style="1" width="42"/>
    <col collapsed="false" customWidth="true" hidden="false" outlineLevel="0" max="6" min="6" style="1" width="52"/>
    <col collapsed="false" customWidth="true" hidden="false" outlineLevel="0" max="7" min="7" style="1" width="36"/>
    <col collapsed="false" customWidth="true" hidden="false" outlineLevel="0" max="9" min="8" style="1" width="11"/>
    <col collapsed="false" customWidth="true" hidden="false" outlineLevel="0" max="10" min="10" style="1" width="26"/>
  </cols>
  <sheetData>
    <row r="1" customFormat="false" ht="27.75" hidden="false" customHeight="true" outlineLevel="0" collapsed="false">
      <c r="A1" s="16" t="s">
        <v>23</v>
      </c>
      <c r="B1" s="16" t="s">
        <v>39</v>
      </c>
      <c r="C1" s="16" t="s">
        <v>57</v>
      </c>
      <c r="D1" s="16" t="s">
        <v>58</v>
      </c>
      <c r="E1" s="16" t="s">
        <v>59</v>
      </c>
      <c r="F1" s="16" t="s">
        <v>60</v>
      </c>
      <c r="G1" s="16" t="s">
        <v>10</v>
      </c>
      <c r="H1" s="16" t="s">
        <v>12</v>
      </c>
      <c r="I1" s="16" t="s">
        <v>14</v>
      </c>
      <c r="J1" s="16" t="s">
        <v>16</v>
      </c>
    </row>
    <row r="2" customFormat="false" ht="36.75" hidden="false" customHeight="true" outlineLevel="0" collapsed="false">
      <c r="A2" s="17" t="s">
        <v>61</v>
      </c>
      <c r="B2" s="18" t="s">
        <v>45</v>
      </c>
      <c r="C2" s="19" t="s">
        <v>62</v>
      </c>
      <c r="D2" s="19" t="s">
        <v>63</v>
      </c>
      <c r="E2" s="19" t="s">
        <v>64</v>
      </c>
      <c r="F2" s="19" t="s">
        <v>65</v>
      </c>
      <c r="G2" s="20" t="s">
        <v>66</v>
      </c>
      <c r="H2" s="20" t="s">
        <v>26</v>
      </c>
      <c r="I2" s="20"/>
      <c r="J2" s="20" t="s">
        <v>67</v>
      </c>
    </row>
    <row r="3" customFormat="false" ht="36.75" hidden="false" customHeight="true" outlineLevel="0" collapsed="false">
      <c r="A3" s="17" t="s">
        <v>68</v>
      </c>
      <c r="B3" s="18" t="s">
        <v>45</v>
      </c>
      <c r="C3" s="19" t="s">
        <v>69</v>
      </c>
      <c r="D3" s="19" t="s">
        <v>70</v>
      </c>
      <c r="E3" s="19" t="s">
        <v>71</v>
      </c>
      <c r="F3" s="19" t="s">
        <v>72</v>
      </c>
      <c r="G3" s="20" t="s">
        <v>73</v>
      </c>
      <c r="H3" s="20" t="s">
        <v>26</v>
      </c>
      <c r="I3" s="20"/>
      <c r="J3" s="20" t="s">
        <v>67</v>
      </c>
    </row>
    <row r="4" customFormat="false" ht="24" hidden="false" customHeight="true" outlineLevel="0" collapsed="false">
      <c r="A4" s="17" t="s">
        <v>74</v>
      </c>
      <c r="B4" s="18" t="s">
        <v>46</v>
      </c>
      <c r="C4" s="19" t="s">
        <v>75</v>
      </c>
      <c r="D4" s="19" t="s">
        <v>70</v>
      </c>
      <c r="E4" s="19" t="s">
        <v>76</v>
      </c>
      <c r="F4" s="19" t="s">
        <v>77</v>
      </c>
      <c r="G4" s="20" t="s">
        <v>78</v>
      </c>
      <c r="H4" s="20" t="s">
        <v>26</v>
      </c>
      <c r="I4" s="20"/>
      <c r="J4" s="20" t="s">
        <v>67</v>
      </c>
    </row>
    <row r="5" customFormat="false" ht="61.5" hidden="false" customHeight="true" outlineLevel="0" collapsed="false">
      <c r="A5" s="17" t="s">
        <v>79</v>
      </c>
      <c r="B5" s="18" t="s">
        <v>46</v>
      </c>
      <c r="C5" s="19" t="s">
        <v>80</v>
      </c>
      <c r="D5" s="19" t="s">
        <v>81</v>
      </c>
      <c r="E5" s="19" t="s">
        <v>82</v>
      </c>
      <c r="F5" s="19" t="s">
        <v>83</v>
      </c>
      <c r="G5" s="20" t="s">
        <v>84</v>
      </c>
      <c r="H5" s="20" t="s">
        <v>26</v>
      </c>
      <c r="I5" s="20"/>
      <c r="J5" s="20" t="s">
        <v>67</v>
      </c>
    </row>
    <row r="6" customFormat="false" ht="24" hidden="false" customHeight="true" outlineLevel="0" collapsed="false">
      <c r="A6" s="17" t="s">
        <v>85</v>
      </c>
      <c r="B6" s="18" t="s">
        <v>46</v>
      </c>
      <c r="C6" s="19" t="s">
        <v>86</v>
      </c>
      <c r="D6" s="19" t="s">
        <v>81</v>
      </c>
      <c r="E6" s="19" t="s">
        <v>87</v>
      </c>
      <c r="F6" s="19" t="s">
        <v>88</v>
      </c>
      <c r="G6" s="20" t="s">
        <v>89</v>
      </c>
      <c r="H6" s="20" t="s">
        <v>26</v>
      </c>
      <c r="I6" s="20"/>
      <c r="J6" s="20" t="s">
        <v>90</v>
      </c>
    </row>
    <row r="7" customFormat="false" ht="36.75" hidden="false" customHeight="true" outlineLevel="0" collapsed="false">
      <c r="A7" s="17" t="s">
        <v>91</v>
      </c>
      <c r="B7" s="18" t="s">
        <v>46</v>
      </c>
      <c r="C7" s="19" t="s">
        <v>92</v>
      </c>
      <c r="D7" s="19" t="s">
        <v>81</v>
      </c>
      <c r="E7" s="19" t="s">
        <v>93</v>
      </c>
      <c r="F7" s="19" t="s">
        <v>94</v>
      </c>
      <c r="G7" s="20" t="s">
        <v>95</v>
      </c>
      <c r="H7" s="20" t="s">
        <v>26</v>
      </c>
      <c r="I7" s="20"/>
      <c r="J7" s="20" t="s">
        <v>90</v>
      </c>
    </row>
    <row r="8" customFormat="false" ht="24" hidden="false" customHeight="true" outlineLevel="0" collapsed="false">
      <c r="A8" s="17" t="s">
        <v>96</v>
      </c>
      <c r="B8" s="18" t="s">
        <v>46</v>
      </c>
      <c r="C8" s="19" t="s">
        <v>97</v>
      </c>
      <c r="D8" s="19" t="s">
        <v>81</v>
      </c>
      <c r="E8" s="19" t="s">
        <v>98</v>
      </c>
      <c r="F8" s="19" t="s">
        <v>99</v>
      </c>
      <c r="G8" s="20" t="s">
        <v>100</v>
      </c>
      <c r="H8" s="20" t="s">
        <v>26</v>
      </c>
      <c r="I8" s="20"/>
      <c r="J8" s="20" t="s">
        <v>101</v>
      </c>
    </row>
    <row r="9" customFormat="false" ht="36.75" hidden="false" customHeight="true" outlineLevel="0" collapsed="false">
      <c r="A9" s="17" t="s">
        <v>102</v>
      </c>
      <c r="B9" s="18" t="s">
        <v>46</v>
      </c>
      <c r="C9" s="19" t="s">
        <v>103</v>
      </c>
      <c r="D9" s="19" t="s">
        <v>81</v>
      </c>
      <c r="E9" s="19" t="s">
        <v>104</v>
      </c>
      <c r="F9" s="19" t="s">
        <v>105</v>
      </c>
      <c r="G9" s="20" t="s">
        <v>106</v>
      </c>
      <c r="H9" s="20" t="s">
        <v>26</v>
      </c>
      <c r="I9" s="20"/>
      <c r="J9" s="20" t="s">
        <v>101</v>
      </c>
    </row>
    <row r="10" customFormat="false" ht="36.75" hidden="false" customHeight="true" outlineLevel="0" collapsed="false">
      <c r="A10" s="17" t="s">
        <v>107</v>
      </c>
      <c r="B10" s="18" t="s">
        <v>46</v>
      </c>
      <c r="C10" s="19" t="s">
        <v>108</v>
      </c>
      <c r="D10" s="19" t="s">
        <v>109</v>
      </c>
      <c r="E10" s="19" t="s">
        <v>110</v>
      </c>
      <c r="F10" s="19" t="s">
        <v>111</v>
      </c>
      <c r="G10" s="20" t="s">
        <v>112</v>
      </c>
      <c r="H10" s="20" t="s">
        <v>26</v>
      </c>
      <c r="I10" s="20"/>
      <c r="J10" s="20" t="s">
        <v>113</v>
      </c>
    </row>
    <row r="11" customFormat="false" ht="36.75" hidden="false" customHeight="true" outlineLevel="0" collapsed="false">
      <c r="A11" s="17" t="s">
        <v>114</v>
      </c>
      <c r="B11" s="18" t="s">
        <v>46</v>
      </c>
      <c r="C11" s="19" t="s">
        <v>115</v>
      </c>
      <c r="D11" s="19" t="s">
        <v>116</v>
      </c>
      <c r="E11" s="19" t="s">
        <v>117</v>
      </c>
      <c r="F11" s="19" t="s">
        <v>118</v>
      </c>
      <c r="G11" s="20" t="s">
        <v>119</v>
      </c>
      <c r="H11" s="20" t="s">
        <v>26</v>
      </c>
      <c r="I11" s="20"/>
      <c r="J11" s="20" t="s">
        <v>120</v>
      </c>
    </row>
    <row r="12" customFormat="false" ht="36.75" hidden="false" customHeight="true" outlineLevel="0" collapsed="false">
      <c r="A12" s="17" t="s">
        <v>121</v>
      </c>
      <c r="B12" s="18" t="s">
        <v>46</v>
      </c>
      <c r="C12" s="19" t="s">
        <v>122</v>
      </c>
      <c r="D12" s="19" t="s">
        <v>116</v>
      </c>
      <c r="E12" s="19" t="s">
        <v>123</v>
      </c>
      <c r="F12" s="19" t="s">
        <v>118</v>
      </c>
      <c r="G12" s="20" t="s">
        <v>124</v>
      </c>
      <c r="H12" s="20" t="s">
        <v>26</v>
      </c>
      <c r="I12" s="20"/>
      <c r="J12" s="20" t="s">
        <v>101</v>
      </c>
    </row>
    <row r="13" customFormat="false" ht="24" hidden="false" customHeight="true" outlineLevel="0" collapsed="false">
      <c r="A13" s="17" t="s">
        <v>24</v>
      </c>
      <c r="B13" s="18" t="s">
        <v>46</v>
      </c>
      <c r="C13" s="19" t="s">
        <v>125</v>
      </c>
      <c r="D13" s="19" t="s">
        <v>126</v>
      </c>
      <c r="E13" s="19" t="s">
        <v>127</v>
      </c>
      <c r="F13" s="19" t="s">
        <v>128</v>
      </c>
      <c r="G13" s="20" t="s">
        <v>129</v>
      </c>
      <c r="H13" s="20" t="s">
        <v>26</v>
      </c>
      <c r="I13" s="20"/>
      <c r="J13" s="20" t="s">
        <v>130</v>
      </c>
    </row>
    <row r="14" customFormat="false" ht="24" hidden="false" customHeight="true" outlineLevel="0" collapsed="false">
      <c r="A14" s="17" t="s">
        <v>131</v>
      </c>
      <c r="B14" s="18" t="s">
        <v>46</v>
      </c>
      <c r="C14" s="19" t="s">
        <v>132</v>
      </c>
      <c r="D14" s="19" t="s">
        <v>133</v>
      </c>
      <c r="E14" s="19" t="s">
        <v>127</v>
      </c>
      <c r="F14" s="19" t="s">
        <v>134</v>
      </c>
      <c r="G14" s="20" t="s">
        <v>135</v>
      </c>
      <c r="H14" s="20" t="s">
        <v>26</v>
      </c>
      <c r="I14" s="20"/>
      <c r="J14" s="20" t="s">
        <v>136</v>
      </c>
    </row>
    <row r="15" customFormat="false" ht="36.75" hidden="false" customHeight="true" outlineLevel="0" collapsed="false">
      <c r="A15" s="17" t="s">
        <v>137</v>
      </c>
      <c r="B15" s="18" t="s">
        <v>46</v>
      </c>
      <c r="C15" s="19" t="s">
        <v>138</v>
      </c>
      <c r="D15" s="19" t="s">
        <v>139</v>
      </c>
      <c r="E15" s="19" t="s">
        <v>127</v>
      </c>
      <c r="F15" s="19" t="s">
        <v>140</v>
      </c>
      <c r="G15" s="20" t="s">
        <v>141</v>
      </c>
      <c r="H15" s="20" t="s">
        <v>26</v>
      </c>
      <c r="I15" s="20"/>
      <c r="J15" s="20" t="s">
        <v>142</v>
      </c>
    </row>
    <row r="16" customFormat="false" ht="24" hidden="false" customHeight="true" outlineLevel="0" collapsed="false">
      <c r="A16" s="17" t="s">
        <v>143</v>
      </c>
      <c r="B16" s="18" t="s">
        <v>46</v>
      </c>
      <c r="C16" s="19" t="s">
        <v>144</v>
      </c>
      <c r="D16" s="19" t="s">
        <v>145</v>
      </c>
      <c r="E16" s="19" t="s">
        <v>127</v>
      </c>
      <c r="F16" s="19" t="s">
        <v>146</v>
      </c>
      <c r="G16" s="20" t="s">
        <v>147</v>
      </c>
      <c r="H16" s="20" t="s">
        <v>26</v>
      </c>
      <c r="I16" s="20"/>
      <c r="J16" s="20" t="s">
        <v>148</v>
      </c>
    </row>
    <row r="17" customFormat="false" ht="24" hidden="false" customHeight="true" outlineLevel="0" collapsed="false">
      <c r="A17" s="17" t="s">
        <v>149</v>
      </c>
      <c r="B17" s="18" t="s">
        <v>46</v>
      </c>
      <c r="C17" s="19" t="s">
        <v>150</v>
      </c>
      <c r="D17" s="19" t="s">
        <v>151</v>
      </c>
      <c r="E17" s="19" t="s">
        <v>127</v>
      </c>
      <c r="F17" s="19" t="s">
        <v>152</v>
      </c>
      <c r="G17" s="20" t="s">
        <v>153</v>
      </c>
      <c r="H17" s="20" t="s">
        <v>26</v>
      </c>
      <c r="I17" s="20"/>
      <c r="J17" s="20" t="s">
        <v>154</v>
      </c>
    </row>
    <row r="18" customFormat="false" ht="36.75" hidden="false" customHeight="true" outlineLevel="0" collapsed="false">
      <c r="A18" s="17" t="s">
        <v>155</v>
      </c>
      <c r="B18" s="18" t="s">
        <v>46</v>
      </c>
      <c r="C18" s="19" t="s">
        <v>156</v>
      </c>
      <c r="D18" s="19" t="s">
        <v>81</v>
      </c>
      <c r="E18" s="19" t="s">
        <v>157</v>
      </c>
      <c r="F18" s="19" t="s">
        <v>158</v>
      </c>
      <c r="G18" s="20" t="s">
        <v>159</v>
      </c>
      <c r="H18" s="20" t="s">
        <v>26</v>
      </c>
      <c r="I18" s="20"/>
      <c r="J18" s="20" t="s">
        <v>101</v>
      </c>
    </row>
    <row r="19" customFormat="false" ht="36.75" hidden="false" customHeight="true" outlineLevel="0" collapsed="false">
      <c r="A19" s="17" t="s">
        <v>160</v>
      </c>
      <c r="B19" s="18" t="s">
        <v>46</v>
      </c>
      <c r="C19" s="19" t="s">
        <v>161</v>
      </c>
      <c r="D19" s="19" t="s">
        <v>81</v>
      </c>
      <c r="E19" s="19" t="s">
        <v>162</v>
      </c>
      <c r="F19" s="19" t="s">
        <v>163</v>
      </c>
      <c r="G19" s="20" t="s">
        <v>164</v>
      </c>
      <c r="H19" s="20" t="s">
        <v>26</v>
      </c>
      <c r="I19" s="20"/>
      <c r="J19" s="20" t="s">
        <v>101</v>
      </c>
    </row>
    <row r="20" customFormat="false" ht="24" hidden="false" customHeight="true" outlineLevel="0" collapsed="false">
      <c r="A20" s="17" t="s">
        <v>165</v>
      </c>
      <c r="B20" s="18" t="s">
        <v>46</v>
      </c>
      <c r="C20" s="19" t="s">
        <v>166</v>
      </c>
      <c r="D20" s="19" t="s">
        <v>70</v>
      </c>
      <c r="E20" s="19" t="s">
        <v>167</v>
      </c>
      <c r="F20" s="19" t="s">
        <v>168</v>
      </c>
      <c r="G20" s="20" t="s">
        <v>169</v>
      </c>
      <c r="H20" s="20" t="s">
        <v>26</v>
      </c>
      <c r="I20" s="20"/>
      <c r="J20" s="20" t="s">
        <v>101</v>
      </c>
    </row>
    <row r="21" customFormat="false" ht="36.75" hidden="false" customHeight="true" outlineLevel="0" collapsed="false">
      <c r="A21" s="17" t="s">
        <v>170</v>
      </c>
      <c r="B21" s="18" t="s">
        <v>46</v>
      </c>
      <c r="C21" s="19" t="s">
        <v>171</v>
      </c>
      <c r="D21" s="19" t="s">
        <v>70</v>
      </c>
      <c r="E21" s="19" t="s">
        <v>172</v>
      </c>
      <c r="F21" s="19" t="s">
        <v>173</v>
      </c>
      <c r="G21" s="20" t="s">
        <v>174</v>
      </c>
      <c r="H21" s="20" t="s">
        <v>26</v>
      </c>
      <c r="I21" s="20"/>
      <c r="J21" s="20" t="s">
        <v>101</v>
      </c>
    </row>
    <row r="22" customFormat="false" ht="36.75" hidden="false" customHeight="true" outlineLevel="0" collapsed="false">
      <c r="A22" s="17" t="s">
        <v>175</v>
      </c>
      <c r="B22" s="18" t="s">
        <v>47</v>
      </c>
      <c r="C22" s="19" t="s">
        <v>176</v>
      </c>
      <c r="D22" s="19" t="s">
        <v>177</v>
      </c>
      <c r="E22" s="19" t="s">
        <v>178</v>
      </c>
      <c r="F22" s="19" t="s">
        <v>179</v>
      </c>
      <c r="G22" s="20" t="s">
        <v>180</v>
      </c>
      <c r="H22" s="20" t="s">
        <v>26</v>
      </c>
      <c r="I22" s="20"/>
      <c r="J22" s="20" t="s">
        <v>90</v>
      </c>
    </row>
    <row r="23" customFormat="false" ht="36.75" hidden="false" customHeight="true" outlineLevel="0" collapsed="false">
      <c r="A23" s="17" t="s">
        <v>181</v>
      </c>
      <c r="B23" s="18" t="s">
        <v>47</v>
      </c>
      <c r="C23" s="19" t="s">
        <v>182</v>
      </c>
      <c r="D23" s="19" t="s">
        <v>177</v>
      </c>
      <c r="E23" s="19" t="s">
        <v>183</v>
      </c>
      <c r="F23" s="19" t="s">
        <v>184</v>
      </c>
      <c r="G23" s="20" t="s">
        <v>185</v>
      </c>
      <c r="H23" s="20" t="s">
        <v>26</v>
      </c>
      <c r="I23" s="20"/>
      <c r="J23" s="20" t="s">
        <v>101</v>
      </c>
    </row>
    <row r="24" customFormat="false" ht="24" hidden="false" customHeight="true" outlineLevel="0" collapsed="false">
      <c r="A24" s="17" t="s">
        <v>186</v>
      </c>
      <c r="B24" s="18" t="s">
        <v>47</v>
      </c>
      <c r="C24" s="19" t="s">
        <v>187</v>
      </c>
      <c r="D24" s="19" t="s">
        <v>177</v>
      </c>
      <c r="E24" s="19" t="s">
        <v>188</v>
      </c>
      <c r="F24" s="19" t="s">
        <v>189</v>
      </c>
      <c r="G24" s="20" t="s">
        <v>190</v>
      </c>
      <c r="H24" s="20" t="s">
        <v>26</v>
      </c>
      <c r="I24" s="20"/>
      <c r="J24" s="20" t="s">
        <v>101</v>
      </c>
    </row>
    <row r="25" customFormat="false" ht="36.75" hidden="false" customHeight="true" outlineLevel="0" collapsed="false">
      <c r="A25" s="17" t="s">
        <v>191</v>
      </c>
      <c r="B25" s="18" t="s">
        <v>47</v>
      </c>
      <c r="C25" s="19" t="s">
        <v>192</v>
      </c>
      <c r="D25" s="19" t="s">
        <v>177</v>
      </c>
      <c r="E25" s="19" t="s">
        <v>193</v>
      </c>
      <c r="F25" s="19" t="s">
        <v>194</v>
      </c>
      <c r="G25" s="20" t="s">
        <v>195</v>
      </c>
      <c r="H25" s="20" t="s">
        <v>26</v>
      </c>
      <c r="I25" s="20"/>
      <c r="J25" s="20" t="s">
        <v>101</v>
      </c>
    </row>
    <row r="26" customFormat="false" ht="36.75" hidden="false" customHeight="true" outlineLevel="0" collapsed="false">
      <c r="A26" s="17" t="s">
        <v>196</v>
      </c>
      <c r="B26" s="18" t="s">
        <v>47</v>
      </c>
      <c r="C26" s="19" t="s">
        <v>197</v>
      </c>
      <c r="D26" s="19" t="s">
        <v>177</v>
      </c>
      <c r="E26" s="19" t="s">
        <v>198</v>
      </c>
      <c r="F26" s="19" t="s">
        <v>199</v>
      </c>
      <c r="G26" s="20" t="s">
        <v>200</v>
      </c>
      <c r="H26" s="20" t="s">
        <v>26</v>
      </c>
      <c r="I26" s="20"/>
      <c r="J26" s="20" t="s">
        <v>101</v>
      </c>
    </row>
    <row r="27" customFormat="false" ht="36.75" hidden="false" customHeight="true" outlineLevel="0" collapsed="false">
      <c r="A27" s="17" t="s">
        <v>201</v>
      </c>
      <c r="B27" s="18" t="s">
        <v>47</v>
      </c>
      <c r="C27" s="19" t="s">
        <v>202</v>
      </c>
      <c r="D27" s="19" t="s">
        <v>177</v>
      </c>
      <c r="E27" s="19" t="s">
        <v>203</v>
      </c>
      <c r="F27" s="19" t="s">
        <v>204</v>
      </c>
      <c r="G27" s="20" t="s">
        <v>205</v>
      </c>
      <c r="H27" s="20" t="s">
        <v>26</v>
      </c>
      <c r="I27" s="20"/>
      <c r="J27" s="20" t="s">
        <v>101</v>
      </c>
    </row>
    <row r="28" customFormat="false" ht="36.75" hidden="false" customHeight="true" outlineLevel="0" collapsed="false">
      <c r="A28" s="17" t="s">
        <v>206</v>
      </c>
      <c r="B28" s="18" t="s">
        <v>47</v>
      </c>
      <c r="C28" s="19" t="s">
        <v>207</v>
      </c>
      <c r="D28" s="19" t="s">
        <v>177</v>
      </c>
      <c r="E28" s="19" t="s">
        <v>208</v>
      </c>
      <c r="F28" s="19" t="s">
        <v>209</v>
      </c>
      <c r="G28" s="20" t="s">
        <v>210</v>
      </c>
      <c r="H28" s="20" t="s">
        <v>26</v>
      </c>
      <c r="I28" s="20"/>
      <c r="J28" s="20" t="s">
        <v>101</v>
      </c>
    </row>
    <row r="29" customFormat="false" ht="36.75" hidden="false" customHeight="true" outlineLevel="0" collapsed="false">
      <c r="A29" s="17" t="s">
        <v>211</v>
      </c>
      <c r="B29" s="18" t="s">
        <v>47</v>
      </c>
      <c r="C29" s="19" t="s">
        <v>212</v>
      </c>
      <c r="D29" s="19" t="s">
        <v>177</v>
      </c>
      <c r="E29" s="19" t="s">
        <v>213</v>
      </c>
      <c r="F29" s="19" t="s">
        <v>214</v>
      </c>
      <c r="G29" s="20" t="s">
        <v>215</v>
      </c>
      <c r="H29" s="20" t="s">
        <v>26</v>
      </c>
      <c r="I29" s="20"/>
      <c r="J29" s="20" t="s">
        <v>101</v>
      </c>
    </row>
    <row r="30" customFormat="false" ht="24" hidden="false" customHeight="true" outlineLevel="0" collapsed="false">
      <c r="A30" s="17" t="s">
        <v>216</v>
      </c>
      <c r="B30" s="18" t="s">
        <v>47</v>
      </c>
      <c r="C30" s="19" t="s">
        <v>217</v>
      </c>
      <c r="D30" s="19" t="s">
        <v>177</v>
      </c>
      <c r="E30" s="19" t="s">
        <v>218</v>
      </c>
      <c r="F30" s="19" t="s">
        <v>219</v>
      </c>
      <c r="G30" s="20" t="s">
        <v>220</v>
      </c>
      <c r="H30" s="20" t="s">
        <v>26</v>
      </c>
      <c r="I30" s="20"/>
      <c r="J30" s="20" t="s">
        <v>101</v>
      </c>
    </row>
    <row r="31" customFormat="false" ht="36.75" hidden="false" customHeight="true" outlineLevel="0" collapsed="false">
      <c r="A31" s="17" t="s">
        <v>221</v>
      </c>
      <c r="B31" s="18" t="s">
        <v>47</v>
      </c>
      <c r="C31" s="19" t="s">
        <v>222</v>
      </c>
      <c r="D31" s="19" t="s">
        <v>177</v>
      </c>
      <c r="E31" s="19" t="s">
        <v>223</v>
      </c>
      <c r="F31" s="19" t="s">
        <v>224</v>
      </c>
      <c r="G31" s="20" t="s">
        <v>225</v>
      </c>
      <c r="H31" s="20" t="s">
        <v>26</v>
      </c>
      <c r="I31" s="20"/>
      <c r="J31" s="20" t="s">
        <v>101</v>
      </c>
    </row>
    <row r="32" customFormat="false" ht="48.75" hidden="false" customHeight="true" outlineLevel="0" collapsed="false">
      <c r="A32" s="17" t="s">
        <v>226</v>
      </c>
      <c r="B32" s="18" t="s">
        <v>47</v>
      </c>
      <c r="C32" s="19" t="s">
        <v>227</v>
      </c>
      <c r="D32" s="19" t="s">
        <v>177</v>
      </c>
      <c r="E32" s="19" t="s">
        <v>228</v>
      </c>
      <c r="F32" s="19" t="s">
        <v>229</v>
      </c>
      <c r="G32" s="20" t="s">
        <v>230</v>
      </c>
      <c r="H32" s="20" t="s">
        <v>26</v>
      </c>
      <c r="I32" s="20"/>
      <c r="J32" s="20" t="s">
        <v>101</v>
      </c>
    </row>
    <row r="33" customFormat="false" ht="48.75" hidden="false" customHeight="true" outlineLevel="0" collapsed="false">
      <c r="A33" s="17" t="s">
        <v>231</v>
      </c>
      <c r="B33" s="18" t="s">
        <v>47</v>
      </c>
      <c r="C33" s="19" t="s">
        <v>232</v>
      </c>
      <c r="D33" s="19" t="s">
        <v>177</v>
      </c>
      <c r="E33" s="19" t="s">
        <v>233</v>
      </c>
      <c r="F33" s="19" t="s">
        <v>234</v>
      </c>
      <c r="G33" s="20" t="s">
        <v>235</v>
      </c>
      <c r="H33" s="20" t="s">
        <v>26</v>
      </c>
      <c r="I33" s="20"/>
      <c r="J33" s="20" t="s">
        <v>101</v>
      </c>
    </row>
    <row r="34" customFormat="false" ht="73.5" hidden="false" customHeight="true" outlineLevel="0" collapsed="false">
      <c r="A34" s="17" t="s">
        <v>236</v>
      </c>
      <c r="B34" s="18" t="s">
        <v>47</v>
      </c>
      <c r="C34" s="19" t="s">
        <v>237</v>
      </c>
      <c r="D34" s="19" t="s">
        <v>238</v>
      </c>
      <c r="E34" s="19" t="s">
        <v>239</v>
      </c>
      <c r="F34" s="19" t="s">
        <v>240</v>
      </c>
      <c r="G34" s="20" t="s">
        <v>241</v>
      </c>
      <c r="H34" s="20" t="s">
        <v>26</v>
      </c>
      <c r="I34" s="20"/>
      <c r="J34" s="20" t="s">
        <v>101</v>
      </c>
    </row>
    <row r="35" customFormat="false" ht="48.75" hidden="false" customHeight="true" outlineLevel="0" collapsed="false">
      <c r="A35" s="17" t="s">
        <v>242</v>
      </c>
      <c r="B35" s="18" t="s">
        <v>47</v>
      </c>
      <c r="C35" s="19" t="s">
        <v>243</v>
      </c>
      <c r="D35" s="19" t="s">
        <v>244</v>
      </c>
      <c r="E35" s="19" t="s">
        <v>245</v>
      </c>
      <c r="F35" s="19" t="s">
        <v>246</v>
      </c>
      <c r="G35" s="20" t="s">
        <v>247</v>
      </c>
      <c r="H35" s="20" t="s">
        <v>26</v>
      </c>
      <c r="I35" s="20"/>
      <c r="J35" s="20" t="s">
        <v>101</v>
      </c>
    </row>
    <row r="36" customFormat="false" ht="36.75" hidden="false" customHeight="true" outlineLevel="0" collapsed="false">
      <c r="A36" s="17" t="s">
        <v>248</v>
      </c>
      <c r="B36" s="18" t="s">
        <v>48</v>
      </c>
      <c r="C36" s="19" t="s">
        <v>249</v>
      </c>
      <c r="D36" s="19" t="s">
        <v>177</v>
      </c>
      <c r="E36" s="19" t="s">
        <v>250</v>
      </c>
      <c r="F36" s="19" t="s">
        <v>251</v>
      </c>
      <c r="G36" s="20" t="s">
        <v>252</v>
      </c>
      <c r="H36" s="20" t="s">
        <v>26</v>
      </c>
      <c r="I36" s="20"/>
      <c r="J36" s="20" t="s">
        <v>101</v>
      </c>
    </row>
    <row r="37" customFormat="false" ht="36.75" hidden="false" customHeight="true" outlineLevel="0" collapsed="false">
      <c r="A37" s="17" t="s">
        <v>253</v>
      </c>
      <c r="B37" s="18" t="s">
        <v>48</v>
      </c>
      <c r="C37" s="19" t="s">
        <v>254</v>
      </c>
      <c r="D37" s="19" t="s">
        <v>177</v>
      </c>
      <c r="E37" s="19" t="s">
        <v>255</v>
      </c>
      <c r="F37" s="19" t="s">
        <v>256</v>
      </c>
      <c r="G37" s="20" t="s">
        <v>257</v>
      </c>
      <c r="H37" s="20" t="s">
        <v>26</v>
      </c>
      <c r="I37" s="20"/>
      <c r="J37" s="20" t="s">
        <v>101</v>
      </c>
    </row>
    <row r="38" customFormat="false" ht="24" hidden="false" customHeight="true" outlineLevel="0" collapsed="false">
      <c r="A38" s="17" t="s">
        <v>258</v>
      </c>
      <c r="B38" s="18" t="s">
        <v>48</v>
      </c>
      <c r="C38" s="19" t="s">
        <v>259</v>
      </c>
      <c r="D38" s="19" t="s">
        <v>177</v>
      </c>
      <c r="E38" s="19" t="s">
        <v>260</v>
      </c>
      <c r="F38" s="19" t="s">
        <v>261</v>
      </c>
      <c r="G38" s="20" t="s">
        <v>262</v>
      </c>
      <c r="H38" s="20" t="s">
        <v>26</v>
      </c>
      <c r="I38" s="20"/>
      <c r="J38" s="20" t="s">
        <v>101</v>
      </c>
    </row>
    <row r="39" customFormat="false" ht="24" hidden="false" customHeight="true" outlineLevel="0" collapsed="false">
      <c r="A39" s="17" t="s">
        <v>263</v>
      </c>
      <c r="B39" s="18" t="s">
        <v>48</v>
      </c>
      <c r="C39" s="19" t="s">
        <v>264</v>
      </c>
      <c r="D39" s="19" t="s">
        <v>177</v>
      </c>
      <c r="E39" s="19" t="s">
        <v>265</v>
      </c>
      <c r="F39" s="19" t="s">
        <v>266</v>
      </c>
      <c r="G39" s="20" t="s">
        <v>267</v>
      </c>
      <c r="H39" s="20" t="s">
        <v>26</v>
      </c>
      <c r="I39" s="20"/>
      <c r="J39" s="20" t="s">
        <v>101</v>
      </c>
    </row>
    <row r="40" customFormat="false" ht="36.75" hidden="false" customHeight="true" outlineLevel="0" collapsed="false">
      <c r="A40" s="17" t="s">
        <v>268</v>
      </c>
      <c r="B40" s="18" t="s">
        <v>48</v>
      </c>
      <c r="C40" s="19" t="s">
        <v>269</v>
      </c>
      <c r="D40" s="19" t="s">
        <v>177</v>
      </c>
      <c r="E40" s="19" t="s">
        <v>270</v>
      </c>
      <c r="F40" s="19" t="s">
        <v>271</v>
      </c>
      <c r="G40" s="20" t="s">
        <v>272</v>
      </c>
      <c r="H40" s="20" t="s">
        <v>26</v>
      </c>
      <c r="I40" s="20"/>
      <c r="J40" s="20" t="s">
        <v>101</v>
      </c>
    </row>
    <row r="41" customFormat="false" ht="24" hidden="false" customHeight="true" outlineLevel="0" collapsed="false">
      <c r="A41" s="17" t="s">
        <v>273</v>
      </c>
      <c r="B41" s="18" t="s">
        <v>48</v>
      </c>
      <c r="C41" s="19" t="s">
        <v>274</v>
      </c>
      <c r="D41" s="19" t="s">
        <v>177</v>
      </c>
      <c r="E41" s="19" t="s">
        <v>275</v>
      </c>
      <c r="F41" s="19" t="s">
        <v>276</v>
      </c>
      <c r="G41" s="20" t="s">
        <v>277</v>
      </c>
      <c r="H41" s="20" t="s">
        <v>26</v>
      </c>
      <c r="I41" s="20"/>
      <c r="J41" s="20" t="s">
        <v>101</v>
      </c>
    </row>
    <row r="42" customFormat="false" ht="36.75" hidden="false" customHeight="true" outlineLevel="0" collapsed="false">
      <c r="A42" s="17" t="s">
        <v>278</v>
      </c>
      <c r="B42" s="18" t="s">
        <v>48</v>
      </c>
      <c r="C42" s="19" t="s">
        <v>279</v>
      </c>
      <c r="D42" s="19" t="s">
        <v>177</v>
      </c>
      <c r="E42" s="19" t="s">
        <v>280</v>
      </c>
      <c r="F42" s="19" t="s">
        <v>281</v>
      </c>
      <c r="G42" s="20" t="s">
        <v>282</v>
      </c>
      <c r="H42" s="20" t="s">
        <v>26</v>
      </c>
      <c r="I42" s="20"/>
      <c r="J42" s="20" t="s">
        <v>101</v>
      </c>
    </row>
    <row r="43" customFormat="false" ht="36.75" hidden="false" customHeight="true" outlineLevel="0" collapsed="false">
      <c r="A43" s="17" t="s">
        <v>283</v>
      </c>
      <c r="B43" s="18" t="s">
        <v>48</v>
      </c>
      <c r="C43" s="19" t="s">
        <v>284</v>
      </c>
      <c r="D43" s="19" t="s">
        <v>177</v>
      </c>
      <c r="E43" s="19" t="s">
        <v>285</v>
      </c>
      <c r="F43" s="19" t="s">
        <v>286</v>
      </c>
      <c r="G43" s="20" t="s">
        <v>287</v>
      </c>
      <c r="H43" s="20" t="s">
        <v>26</v>
      </c>
      <c r="I43" s="20"/>
      <c r="J43" s="20" t="s">
        <v>101</v>
      </c>
    </row>
    <row r="44" customFormat="false" ht="48.75" hidden="false" customHeight="true" outlineLevel="0" collapsed="false">
      <c r="A44" s="17" t="s">
        <v>288</v>
      </c>
      <c r="B44" s="18" t="s">
        <v>48</v>
      </c>
      <c r="C44" s="19" t="s">
        <v>289</v>
      </c>
      <c r="D44" s="19" t="s">
        <v>177</v>
      </c>
      <c r="E44" s="19" t="s">
        <v>290</v>
      </c>
      <c r="F44" s="19" t="s">
        <v>291</v>
      </c>
      <c r="G44" s="20" t="s">
        <v>292</v>
      </c>
      <c r="H44" s="20" t="s">
        <v>26</v>
      </c>
      <c r="I44" s="20"/>
      <c r="J44" s="20" t="s">
        <v>101</v>
      </c>
    </row>
    <row r="45" customFormat="false" ht="36.75" hidden="false" customHeight="true" outlineLevel="0" collapsed="false">
      <c r="A45" s="17" t="s">
        <v>293</v>
      </c>
      <c r="B45" s="18" t="s">
        <v>48</v>
      </c>
      <c r="C45" s="19" t="s">
        <v>294</v>
      </c>
      <c r="D45" s="19" t="s">
        <v>177</v>
      </c>
      <c r="E45" s="19" t="s">
        <v>295</v>
      </c>
      <c r="F45" s="19" t="s">
        <v>296</v>
      </c>
      <c r="G45" s="20" t="s">
        <v>297</v>
      </c>
      <c r="H45" s="20" t="s">
        <v>26</v>
      </c>
      <c r="I45" s="20"/>
      <c r="J45" s="20" t="s">
        <v>101</v>
      </c>
    </row>
    <row r="46" customFormat="false" ht="36.75" hidden="false" customHeight="true" outlineLevel="0" collapsed="false">
      <c r="A46" s="17" t="s">
        <v>298</v>
      </c>
      <c r="B46" s="18" t="s">
        <v>48</v>
      </c>
      <c r="C46" s="19" t="s">
        <v>299</v>
      </c>
      <c r="D46" s="19" t="s">
        <v>177</v>
      </c>
      <c r="E46" s="19" t="s">
        <v>300</v>
      </c>
      <c r="F46" s="19" t="s">
        <v>301</v>
      </c>
      <c r="G46" s="20" t="s">
        <v>302</v>
      </c>
      <c r="H46" s="20" t="s">
        <v>26</v>
      </c>
      <c r="I46" s="20"/>
      <c r="J46" s="20" t="s">
        <v>101</v>
      </c>
    </row>
    <row r="47" customFormat="false" ht="36.75" hidden="false" customHeight="true" outlineLevel="0" collapsed="false">
      <c r="A47" s="17" t="s">
        <v>303</v>
      </c>
      <c r="B47" s="18" t="s">
        <v>48</v>
      </c>
      <c r="C47" s="19" t="s">
        <v>304</v>
      </c>
      <c r="D47" s="19" t="s">
        <v>177</v>
      </c>
      <c r="E47" s="19" t="s">
        <v>305</v>
      </c>
      <c r="F47" s="19" t="s">
        <v>306</v>
      </c>
      <c r="G47" s="20" t="s">
        <v>307</v>
      </c>
      <c r="H47" s="20" t="s">
        <v>26</v>
      </c>
      <c r="I47" s="20"/>
      <c r="J47" s="20" t="s">
        <v>101</v>
      </c>
    </row>
    <row r="48" customFormat="false" ht="24" hidden="false" customHeight="true" outlineLevel="0" collapsed="false">
      <c r="A48" s="17" t="s">
        <v>308</v>
      </c>
      <c r="B48" s="18" t="s">
        <v>48</v>
      </c>
      <c r="C48" s="19" t="s">
        <v>309</v>
      </c>
      <c r="D48" s="19" t="s">
        <v>177</v>
      </c>
      <c r="E48" s="19" t="s">
        <v>310</v>
      </c>
      <c r="F48" s="19" t="s">
        <v>311</v>
      </c>
      <c r="G48" s="20" t="s">
        <v>312</v>
      </c>
      <c r="H48" s="20" t="s">
        <v>26</v>
      </c>
      <c r="I48" s="20"/>
      <c r="J48" s="20" t="s">
        <v>101</v>
      </c>
    </row>
    <row r="49" customFormat="false" ht="36.75" hidden="false" customHeight="true" outlineLevel="0" collapsed="false">
      <c r="A49" s="17" t="s">
        <v>313</v>
      </c>
      <c r="B49" s="18" t="s">
        <v>48</v>
      </c>
      <c r="C49" s="19" t="s">
        <v>314</v>
      </c>
      <c r="D49" s="19" t="s">
        <v>177</v>
      </c>
      <c r="E49" s="19" t="s">
        <v>315</v>
      </c>
      <c r="F49" s="19" t="s">
        <v>316</v>
      </c>
      <c r="G49" s="20" t="s">
        <v>317</v>
      </c>
      <c r="H49" s="20" t="s">
        <v>26</v>
      </c>
      <c r="I49" s="20"/>
      <c r="J49" s="20" t="s">
        <v>101</v>
      </c>
    </row>
    <row r="50" customFormat="false" ht="61.5" hidden="false" customHeight="true" outlineLevel="0" collapsed="false">
      <c r="A50" s="21" t="s">
        <v>318</v>
      </c>
      <c r="B50" s="18" t="s">
        <v>49</v>
      </c>
      <c r="C50" s="19" t="s">
        <v>319</v>
      </c>
      <c r="D50" s="19" t="s">
        <v>320</v>
      </c>
      <c r="E50" s="19" t="s">
        <v>245</v>
      </c>
      <c r="F50" s="19" t="s">
        <v>321</v>
      </c>
      <c r="G50" s="20" t="s">
        <v>322</v>
      </c>
      <c r="H50" s="22" t="s">
        <v>41</v>
      </c>
      <c r="I50" s="20" t="s">
        <v>54</v>
      </c>
      <c r="J50" s="20"/>
    </row>
    <row r="51" customFormat="false" ht="36.75" hidden="false" customHeight="true" outlineLevel="0" collapsed="false">
      <c r="A51" s="17" t="s">
        <v>323</v>
      </c>
      <c r="B51" s="18" t="s">
        <v>49</v>
      </c>
      <c r="C51" s="19" t="s">
        <v>324</v>
      </c>
      <c r="D51" s="19" t="s">
        <v>325</v>
      </c>
      <c r="E51" s="19" t="s">
        <v>245</v>
      </c>
      <c r="F51" s="19" t="s">
        <v>326</v>
      </c>
      <c r="G51" s="20" t="s">
        <v>327</v>
      </c>
      <c r="H51" s="20" t="s">
        <v>26</v>
      </c>
      <c r="I51" s="20"/>
      <c r="J51" s="20" t="s">
        <v>328</v>
      </c>
    </row>
    <row r="52" customFormat="false" ht="36.75" hidden="false" customHeight="true" outlineLevel="0" collapsed="false">
      <c r="A52" s="17" t="s">
        <v>329</v>
      </c>
      <c r="B52" s="18" t="s">
        <v>49</v>
      </c>
      <c r="C52" s="19" t="s">
        <v>330</v>
      </c>
      <c r="D52" s="19" t="s">
        <v>331</v>
      </c>
      <c r="E52" s="19" t="s">
        <v>245</v>
      </c>
      <c r="F52" s="19" t="s">
        <v>332</v>
      </c>
      <c r="G52" s="20" t="s">
        <v>333</v>
      </c>
      <c r="H52" s="20" t="s">
        <v>26</v>
      </c>
      <c r="I52" s="20"/>
      <c r="J52" s="20" t="s">
        <v>334</v>
      </c>
    </row>
    <row r="53" customFormat="false" ht="36.75" hidden="false" customHeight="true" outlineLevel="0" collapsed="false">
      <c r="A53" s="17" t="s">
        <v>335</v>
      </c>
      <c r="B53" s="18" t="s">
        <v>49</v>
      </c>
      <c r="C53" s="19" t="s">
        <v>336</v>
      </c>
      <c r="D53" s="19" t="s">
        <v>337</v>
      </c>
      <c r="E53" s="19" t="s">
        <v>245</v>
      </c>
      <c r="F53" s="19" t="s">
        <v>338</v>
      </c>
      <c r="G53" s="20" t="s">
        <v>339</v>
      </c>
      <c r="H53" s="20" t="s">
        <v>26</v>
      </c>
      <c r="I53" s="20"/>
      <c r="J53" s="20" t="s">
        <v>340</v>
      </c>
    </row>
    <row r="54" customFormat="false" ht="36.75" hidden="false" customHeight="true" outlineLevel="0" collapsed="false">
      <c r="A54" s="17" t="s">
        <v>341</v>
      </c>
      <c r="B54" s="18" t="s">
        <v>49</v>
      </c>
      <c r="C54" s="19" t="s">
        <v>342</v>
      </c>
      <c r="D54" s="19" t="s">
        <v>343</v>
      </c>
      <c r="E54" s="19" t="s">
        <v>344</v>
      </c>
      <c r="F54" s="19" t="s">
        <v>345</v>
      </c>
      <c r="G54" s="20" t="s">
        <v>346</v>
      </c>
      <c r="H54" s="20" t="s">
        <v>26</v>
      </c>
      <c r="I54" s="20"/>
      <c r="J54" s="20" t="s">
        <v>347</v>
      </c>
    </row>
    <row r="55" customFormat="false" ht="36.75" hidden="false" customHeight="true" outlineLevel="0" collapsed="false">
      <c r="A55" s="17" t="s">
        <v>348</v>
      </c>
      <c r="B55" s="18" t="s">
        <v>49</v>
      </c>
      <c r="C55" s="19" t="s">
        <v>349</v>
      </c>
      <c r="D55" s="19" t="s">
        <v>350</v>
      </c>
      <c r="E55" s="19" t="s">
        <v>245</v>
      </c>
      <c r="F55" s="19" t="s">
        <v>351</v>
      </c>
      <c r="G55" s="20" t="s">
        <v>352</v>
      </c>
      <c r="H55" s="20" t="s">
        <v>26</v>
      </c>
      <c r="I55" s="20"/>
      <c r="J55" s="20" t="s">
        <v>142</v>
      </c>
    </row>
    <row r="56" customFormat="false" ht="48.75" hidden="false" customHeight="true" outlineLevel="0" collapsed="false">
      <c r="A56" s="17" t="s">
        <v>353</v>
      </c>
      <c r="B56" s="18" t="s">
        <v>49</v>
      </c>
      <c r="C56" s="19" t="s">
        <v>354</v>
      </c>
      <c r="D56" s="19" t="s">
        <v>355</v>
      </c>
      <c r="E56" s="19" t="s">
        <v>245</v>
      </c>
      <c r="F56" s="19" t="s">
        <v>356</v>
      </c>
      <c r="G56" s="20" t="s">
        <v>357</v>
      </c>
      <c r="H56" s="20" t="s">
        <v>26</v>
      </c>
      <c r="I56" s="20"/>
      <c r="J56" s="20" t="s">
        <v>148</v>
      </c>
    </row>
    <row r="57" customFormat="false" ht="36.75" hidden="false" customHeight="true" outlineLevel="0" collapsed="false">
      <c r="A57" s="17" t="s">
        <v>358</v>
      </c>
      <c r="B57" s="18" t="s">
        <v>49</v>
      </c>
      <c r="C57" s="19" t="s">
        <v>359</v>
      </c>
      <c r="D57" s="19" t="s">
        <v>360</v>
      </c>
      <c r="E57" s="19" t="s">
        <v>361</v>
      </c>
      <c r="F57" s="19" t="s">
        <v>362</v>
      </c>
      <c r="G57" s="20" t="s">
        <v>363</v>
      </c>
      <c r="H57" s="20" t="s">
        <v>26</v>
      </c>
      <c r="I57" s="20"/>
      <c r="J57" s="20" t="s">
        <v>364</v>
      </c>
    </row>
    <row r="58" customFormat="false" ht="48.75" hidden="false" customHeight="true" outlineLevel="0" collapsed="false">
      <c r="A58" s="17" t="s">
        <v>365</v>
      </c>
      <c r="B58" s="18" t="s">
        <v>49</v>
      </c>
      <c r="C58" s="19" t="s">
        <v>366</v>
      </c>
      <c r="D58" s="19" t="s">
        <v>367</v>
      </c>
      <c r="E58" s="19" t="s">
        <v>245</v>
      </c>
      <c r="F58" s="19" t="s">
        <v>368</v>
      </c>
      <c r="G58" s="20" t="s">
        <v>369</v>
      </c>
      <c r="H58" s="20" t="s">
        <v>26</v>
      </c>
      <c r="I58" s="20"/>
      <c r="J58" s="20" t="s">
        <v>154</v>
      </c>
    </row>
    <row r="59" customFormat="false" ht="36" hidden="false" customHeight="true" outlineLevel="0" collapsed="false">
      <c r="A59" s="17" t="s">
        <v>370</v>
      </c>
      <c r="B59" s="18" t="s">
        <v>49</v>
      </c>
      <c r="C59" s="19" t="s">
        <v>371</v>
      </c>
      <c r="D59" s="19" t="s">
        <v>372</v>
      </c>
      <c r="E59" s="19" t="s">
        <v>245</v>
      </c>
      <c r="F59" s="19" t="s">
        <v>373</v>
      </c>
      <c r="G59" s="20" t="s">
        <v>374</v>
      </c>
      <c r="H59" s="20" t="s">
        <v>26</v>
      </c>
      <c r="I59" s="20"/>
      <c r="J59" s="20" t="s">
        <v>375</v>
      </c>
    </row>
    <row r="60" customFormat="false" ht="48.75" hidden="false" customHeight="true" outlineLevel="0" collapsed="false">
      <c r="A60" s="17" t="s">
        <v>376</v>
      </c>
      <c r="B60" s="18" t="s">
        <v>49</v>
      </c>
      <c r="C60" s="19" t="s">
        <v>377</v>
      </c>
      <c r="D60" s="19" t="s">
        <v>378</v>
      </c>
      <c r="E60" s="19" t="s">
        <v>245</v>
      </c>
      <c r="F60" s="19" t="s">
        <v>379</v>
      </c>
      <c r="G60" s="20" t="s">
        <v>380</v>
      </c>
      <c r="H60" s="20" t="s">
        <v>26</v>
      </c>
      <c r="I60" s="20"/>
      <c r="J60" s="20" t="s">
        <v>381</v>
      </c>
    </row>
    <row r="61" customFormat="false" ht="48.75" hidden="false" customHeight="true" outlineLevel="0" collapsed="false">
      <c r="A61" s="17" t="s">
        <v>382</v>
      </c>
      <c r="B61" s="18" t="s">
        <v>49</v>
      </c>
      <c r="C61" s="19" t="s">
        <v>383</v>
      </c>
      <c r="D61" s="19" t="s">
        <v>384</v>
      </c>
      <c r="E61" s="19" t="s">
        <v>385</v>
      </c>
      <c r="F61" s="19" t="s">
        <v>386</v>
      </c>
      <c r="G61" s="20" t="s">
        <v>387</v>
      </c>
      <c r="H61" s="20" t="s">
        <v>26</v>
      </c>
      <c r="I61" s="20"/>
      <c r="J61" s="20" t="s">
        <v>388</v>
      </c>
    </row>
    <row r="62" customFormat="false" ht="24" hidden="false" customHeight="true" outlineLevel="0" collapsed="false">
      <c r="A62" s="17" t="s">
        <v>389</v>
      </c>
      <c r="B62" s="18" t="s">
        <v>49</v>
      </c>
      <c r="C62" s="19" t="s">
        <v>390</v>
      </c>
      <c r="D62" s="19" t="s">
        <v>391</v>
      </c>
      <c r="E62" s="19" t="s">
        <v>385</v>
      </c>
      <c r="F62" s="19" t="s">
        <v>392</v>
      </c>
      <c r="G62" s="20" t="s">
        <v>393</v>
      </c>
      <c r="H62" s="20" t="s">
        <v>26</v>
      </c>
      <c r="I62" s="20"/>
      <c r="J62" s="20" t="s">
        <v>394</v>
      </c>
    </row>
    <row r="63" customFormat="false" ht="36.75" hidden="false" customHeight="true" outlineLevel="0" collapsed="false">
      <c r="A63" s="17" t="s">
        <v>395</v>
      </c>
      <c r="B63" s="18" t="s">
        <v>49</v>
      </c>
      <c r="C63" s="19" t="s">
        <v>396</v>
      </c>
      <c r="D63" s="19" t="s">
        <v>397</v>
      </c>
      <c r="E63" s="19" t="s">
        <v>398</v>
      </c>
      <c r="F63" s="19" t="s">
        <v>399</v>
      </c>
      <c r="G63" s="20" t="s">
        <v>400</v>
      </c>
      <c r="H63" s="20" t="s">
        <v>26</v>
      </c>
      <c r="I63" s="20"/>
      <c r="J63" s="20" t="s">
        <v>401</v>
      </c>
    </row>
    <row r="64" customFormat="false" ht="24" hidden="false" customHeight="true" outlineLevel="0" collapsed="false">
      <c r="A64" s="17" t="s">
        <v>402</v>
      </c>
      <c r="B64" s="18" t="s">
        <v>49</v>
      </c>
      <c r="C64" s="19" t="s">
        <v>403</v>
      </c>
      <c r="D64" s="19" t="s">
        <v>404</v>
      </c>
      <c r="E64" s="19" t="s">
        <v>245</v>
      </c>
      <c r="F64" s="19" t="s">
        <v>405</v>
      </c>
      <c r="G64" s="20" t="s">
        <v>406</v>
      </c>
      <c r="H64" s="20" t="s">
        <v>26</v>
      </c>
      <c r="I64" s="20"/>
      <c r="J64" s="20" t="s">
        <v>407</v>
      </c>
    </row>
    <row r="65" customFormat="false" ht="36.75" hidden="false" customHeight="true" outlineLevel="0" collapsed="false">
      <c r="A65" s="17" t="s">
        <v>408</v>
      </c>
      <c r="B65" s="18" t="s">
        <v>49</v>
      </c>
      <c r="C65" s="19" t="s">
        <v>409</v>
      </c>
      <c r="D65" s="19" t="s">
        <v>410</v>
      </c>
      <c r="E65" s="19" t="s">
        <v>411</v>
      </c>
      <c r="F65" s="19" t="s">
        <v>412</v>
      </c>
      <c r="G65" s="20" t="s">
        <v>413</v>
      </c>
      <c r="H65" s="20" t="s">
        <v>26</v>
      </c>
      <c r="I65" s="20"/>
      <c r="J65" s="20" t="s">
        <v>414</v>
      </c>
    </row>
    <row r="66" customFormat="false" ht="24" hidden="false" customHeight="true" outlineLevel="0" collapsed="false">
      <c r="A66" s="17" t="s">
        <v>415</v>
      </c>
      <c r="B66" s="18" t="s">
        <v>49</v>
      </c>
      <c r="C66" s="19" t="s">
        <v>416</v>
      </c>
      <c r="D66" s="19" t="s">
        <v>417</v>
      </c>
      <c r="E66" s="19" t="s">
        <v>245</v>
      </c>
      <c r="F66" s="19" t="s">
        <v>418</v>
      </c>
      <c r="G66" s="20" t="s">
        <v>419</v>
      </c>
      <c r="H66" s="20" t="s">
        <v>26</v>
      </c>
      <c r="I66" s="20"/>
      <c r="J66" s="20" t="s">
        <v>420</v>
      </c>
    </row>
    <row r="67" customFormat="false" ht="85.5" hidden="false" customHeight="true" outlineLevel="0" collapsed="false">
      <c r="A67" s="17" t="s">
        <v>421</v>
      </c>
      <c r="B67" s="18" t="s">
        <v>49</v>
      </c>
      <c r="C67" s="19" t="s">
        <v>422</v>
      </c>
      <c r="D67" s="19" t="s">
        <v>423</v>
      </c>
      <c r="E67" s="19" t="s">
        <v>245</v>
      </c>
      <c r="F67" s="19" t="s">
        <v>424</v>
      </c>
      <c r="G67" s="20" t="s">
        <v>425</v>
      </c>
      <c r="H67" s="20" t="s">
        <v>41</v>
      </c>
      <c r="I67" s="20" t="s">
        <v>54</v>
      </c>
      <c r="J67" s="20" t="s">
        <v>426</v>
      </c>
    </row>
    <row r="68" customFormat="false" ht="36.75" hidden="false" customHeight="true" outlineLevel="0" collapsed="false">
      <c r="A68" s="17" t="s">
        <v>427</v>
      </c>
      <c r="B68" s="18" t="s">
        <v>49</v>
      </c>
      <c r="C68" s="19" t="s">
        <v>428</v>
      </c>
      <c r="D68" s="19" t="s">
        <v>429</v>
      </c>
      <c r="E68" s="19" t="s">
        <v>430</v>
      </c>
      <c r="F68" s="19" t="s">
        <v>431</v>
      </c>
      <c r="G68" s="20" t="s">
        <v>432</v>
      </c>
      <c r="H68" s="20" t="s">
        <v>26</v>
      </c>
      <c r="I68" s="20"/>
      <c r="J68" s="20" t="s">
        <v>433</v>
      </c>
    </row>
    <row r="69" customFormat="false" ht="48.75" hidden="false" customHeight="true" outlineLevel="0" collapsed="false">
      <c r="A69" s="17" t="s">
        <v>434</v>
      </c>
      <c r="B69" s="18" t="s">
        <v>50</v>
      </c>
      <c r="C69" s="19" t="s">
        <v>435</v>
      </c>
      <c r="D69" s="19" t="s">
        <v>70</v>
      </c>
      <c r="E69" s="19" t="s">
        <v>436</v>
      </c>
      <c r="F69" s="19" t="s">
        <v>437</v>
      </c>
      <c r="G69" s="20" t="s">
        <v>438</v>
      </c>
      <c r="H69" s="20" t="s">
        <v>26</v>
      </c>
      <c r="I69" s="20"/>
      <c r="J69" s="20" t="s">
        <v>101</v>
      </c>
    </row>
    <row r="70" customFormat="false" ht="36.75" hidden="false" customHeight="true" outlineLevel="0" collapsed="false">
      <c r="A70" s="17" t="s">
        <v>439</v>
      </c>
      <c r="B70" s="18" t="s">
        <v>50</v>
      </c>
      <c r="C70" s="19" t="s">
        <v>440</v>
      </c>
      <c r="D70" s="19" t="s">
        <v>177</v>
      </c>
      <c r="E70" s="19" t="s">
        <v>441</v>
      </c>
      <c r="F70" s="19" t="s">
        <v>442</v>
      </c>
      <c r="G70" s="20" t="s">
        <v>443</v>
      </c>
      <c r="H70" s="20" t="s">
        <v>26</v>
      </c>
      <c r="I70" s="20"/>
      <c r="J70" s="20" t="s">
        <v>101</v>
      </c>
    </row>
    <row r="71" customFormat="false" ht="48.75" hidden="false" customHeight="true" outlineLevel="0" collapsed="false">
      <c r="A71" s="17" t="s">
        <v>444</v>
      </c>
      <c r="B71" s="18" t="s">
        <v>50</v>
      </c>
      <c r="C71" s="19" t="s">
        <v>445</v>
      </c>
      <c r="D71" s="19" t="s">
        <v>81</v>
      </c>
      <c r="E71" s="19" t="s">
        <v>446</v>
      </c>
      <c r="F71" s="19" t="s">
        <v>447</v>
      </c>
      <c r="G71" s="20" t="s">
        <v>448</v>
      </c>
      <c r="H71" s="20" t="s">
        <v>41</v>
      </c>
      <c r="I71" s="20" t="s">
        <v>54</v>
      </c>
      <c r="J71" s="20" t="s">
        <v>449</v>
      </c>
    </row>
    <row r="72" customFormat="false" ht="36.75" hidden="false" customHeight="true" outlineLevel="0" collapsed="false">
      <c r="A72" s="17" t="s">
        <v>450</v>
      </c>
      <c r="B72" s="18" t="s">
        <v>50</v>
      </c>
      <c r="C72" s="19" t="s">
        <v>451</v>
      </c>
      <c r="D72" s="19" t="s">
        <v>81</v>
      </c>
      <c r="E72" s="19" t="s">
        <v>452</v>
      </c>
      <c r="F72" s="19" t="s">
        <v>453</v>
      </c>
      <c r="G72" s="20" t="s">
        <v>454</v>
      </c>
      <c r="H72" s="20" t="s">
        <v>26</v>
      </c>
      <c r="I72" s="20"/>
      <c r="J72" s="20" t="s">
        <v>101</v>
      </c>
    </row>
    <row r="73" customFormat="false" ht="36.75" hidden="false" customHeight="true" outlineLevel="0" collapsed="false">
      <c r="A73" s="17" t="s">
        <v>455</v>
      </c>
      <c r="B73" s="18" t="s">
        <v>50</v>
      </c>
      <c r="C73" s="19" t="s">
        <v>456</v>
      </c>
      <c r="D73" s="19" t="s">
        <v>177</v>
      </c>
      <c r="E73" s="19" t="s">
        <v>457</v>
      </c>
      <c r="F73" s="19" t="s">
        <v>458</v>
      </c>
      <c r="G73" s="20" t="s">
        <v>459</v>
      </c>
      <c r="H73" s="20" t="s">
        <v>26</v>
      </c>
      <c r="I73" s="20"/>
      <c r="J73" s="20" t="s">
        <v>101</v>
      </c>
    </row>
  </sheetData>
  <autoFilter ref="A1:J73"/>
  <conditionalFormatting sqref="H2:H73">
    <cfRule type="cellIs" priority="2" operator="equal" aboveAverage="0" equalAverage="0" bottom="0" percent="0" rank="0" text="" dxfId="9">
      <formula>"Pass"</formula>
    </cfRule>
    <cfRule type="cellIs" priority="3" operator="equal" aboveAverage="0" equalAverage="0" bottom="0" percent="0" rank="0" text="" dxfId="10">
      <formula>"Fail"</formula>
    </cfRule>
    <cfRule type="cellIs" priority="4" operator="equal" aboveAverage="0" equalAverage="0" bottom="0" percent="0" rank="0" text="" dxfId="11">
      <formula>"Blocked"</formula>
    </cfRule>
  </conditionalFormatting>
  <dataValidations count="2">
    <dataValidation allowBlank="true" errorStyle="stop" operator="between" showDropDown="false" showErrorMessage="false" showInputMessage="false" sqref="H2:H73" type="list">
      <formula1>"Pass,Fail,Blocked,Not run"</formula1>
      <formula2>0</formula2>
    </dataValidation>
    <dataValidation allowBlank="true" errorStyle="stop" operator="between" showDropDown="false" showErrorMessage="false" showInputMessage="false" sqref="I2:I73" type="list">
      <formula1>"Critical,Major,Minor,Cosmetic"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374B"/>
    <pageSetUpPr fitToPage="false"/>
  </sheetPr>
  <dimension ref="A1:I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F7" activeCellId="0" sqref="F7"/>
    </sheetView>
  </sheetViews>
  <sheetFormatPr defaultColWidth="8.6875" defaultRowHeight="14.25" zeroHeight="false" outlineLevelRow="0" outlineLevelCol="0"/>
  <cols>
    <col collapsed="false" customWidth="true" hidden="false" outlineLevel="0" max="2" min="1" style="1" width="9"/>
    <col collapsed="false" customWidth="true" hidden="false" outlineLevel="0" max="3" min="3" style="1" width="30"/>
    <col collapsed="false" customWidth="true" hidden="false" outlineLevel="0" max="4" min="4" style="1" width="42"/>
    <col collapsed="false" customWidth="true" hidden="false" outlineLevel="0" max="5" min="5" style="1" width="11"/>
    <col collapsed="false" customWidth="true" hidden="false" outlineLevel="0" max="7" min="6" style="1" width="32"/>
    <col collapsed="false" customWidth="true" hidden="false" outlineLevel="0" max="8" min="8" style="1" width="11"/>
    <col collapsed="false" customWidth="true" hidden="false" outlineLevel="0" max="9" min="9" style="1" width="26"/>
  </cols>
  <sheetData>
    <row r="1" customFormat="false" ht="14.25" hidden="false" customHeight="true" outlineLevel="0" collapsed="false">
      <c r="A1" s="23" t="s">
        <v>460</v>
      </c>
    </row>
    <row r="2" customFormat="false" ht="14.25" hidden="false" customHeight="true" outlineLevel="0" collapsed="false">
      <c r="A2" s="10" t="s">
        <v>461</v>
      </c>
      <c r="B2" s="10" t="s">
        <v>23</v>
      </c>
      <c r="C2" s="10" t="s">
        <v>462</v>
      </c>
      <c r="D2" s="10" t="s">
        <v>463</v>
      </c>
      <c r="E2" s="10" t="s">
        <v>14</v>
      </c>
      <c r="F2" s="10" t="s">
        <v>464</v>
      </c>
      <c r="G2" s="10" t="s">
        <v>465</v>
      </c>
      <c r="H2" s="10" t="s">
        <v>12</v>
      </c>
      <c r="I2" s="10" t="s">
        <v>466</v>
      </c>
    </row>
    <row r="3" customFormat="false" ht="72" hidden="false" customHeight="true" outlineLevel="0" collapsed="false">
      <c r="A3" s="20" t="s">
        <v>467</v>
      </c>
      <c r="B3" s="20" t="s">
        <v>318</v>
      </c>
      <c r="C3" s="20" t="s">
        <v>468</v>
      </c>
      <c r="D3" s="20" t="s">
        <v>469</v>
      </c>
      <c r="E3" s="20" t="s">
        <v>54</v>
      </c>
      <c r="F3" s="20" t="s">
        <v>470</v>
      </c>
      <c r="G3" s="20" t="s">
        <v>471</v>
      </c>
      <c r="H3" s="20" t="s">
        <v>472</v>
      </c>
      <c r="I3" s="20" t="s">
        <v>473</v>
      </c>
    </row>
    <row r="4" customFormat="false" ht="61.5" hidden="false" customHeight="true" outlineLevel="0" collapsed="false">
      <c r="A4" s="20" t="s">
        <v>474</v>
      </c>
      <c r="B4" s="20" t="s">
        <v>421</v>
      </c>
      <c r="C4" s="20" t="s">
        <v>475</v>
      </c>
      <c r="D4" s="20" t="s">
        <v>476</v>
      </c>
      <c r="E4" s="20" t="s">
        <v>54</v>
      </c>
      <c r="F4" s="20" t="s">
        <v>477</v>
      </c>
      <c r="G4" s="20" t="s">
        <v>478</v>
      </c>
      <c r="H4" s="20" t="s">
        <v>472</v>
      </c>
      <c r="I4" s="20" t="s">
        <v>473</v>
      </c>
    </row>
    <row r="5" customFormat="false" ht="64.5" hidden="false" customHeight="true" outlineLevel="0" collapsed="false">
      <c r="A5" s="20" t="s">
        <v>479</v>
      </c>
      <c r="B5" s="20" t="s">
        <v>444</v>
      </c>
      <c r="C5" s="20" t="s">
        <v>480</v>
      </c>
      <c r="D5" s="20" t="s">
        <v>481</v>
      </c>
      <c r="E5" s="20" t="s">
        <v>54</v>
      </c>
      <c r="F5" s="20" t="s">
        <v>482</v>
      </c>
      <c r="G5" s="20" t="s">
        <v>483</v>
      </c>
      <c r="H5" s="20" t="s">
        <v>472</v>
      </c>
      <c r="I5" s="20" t="s">
        <v>473</v>
      </c>
    </row>
    <row r="6" customFormat="false" ht="14.25" hidden="false" customHeight="true" outlineLevel="0" collapsed="false">
      <c r="A6" s="20"/>
      <c r="B6" s="20"/>
      <c r="C6" s="20"/>
      <c r="D6" s="20"/>
      <c r="E6" s="20"/>
      <c r="F6" s="20"/>
      <c r="G6" s="20"/>
      <c r="H6" s="20"/>
      <c r="I6" s="20"/>
    </row>
    <row r="7" customFormat="false" ht="14.25" hidden="false" customHeight="true" outlineLevel="0" collapsed="false">
      <c r="A7" s="20"/>
      <c r="B7" s="20"/>
      <c r="C7" s="20"/>
      <c r="D7" s="20"/>
      <c r="E7" s="20"/>
      <c r="F7" s="20"/>
      <c r="G7" s="20"/>
      <c r="H7" s="20"/>
      <c r="I7" s="20"/>
    </row>
    <row r="8" customFormat="false" ht="14.25" hidden="false" customHeight="true" outlineLevel="0" collapsed="false">
      <c r="A8" s="20"/>
      <c r="B8" s="20"/>
      <c r="C8" s="20"/>
      <c r="D8" s="20"/>
      <c r="E8" s="20"/>
      <c r="F8" s="20"/>
      <c r="G8" s="20"/>
      <c r="H8" s="20"/>
      <c r="I8" s="20"/>
    </row>
    <row r="9" customFormat="false" ht="14.25" hidden="false" customHeight="true" outlineLevel="0" collapsed="false">
      <c r="A9" s="20"/>
      <c r="B9" s="20"/>
      <c r="C9" s="20"/>
      <c r="D9" s="20"/>
      <c r="E9" s="20"/>
      <c r="F9" s="20"/>
      <c r="G9" s="20"/>
      <c r="H9" s="20"/>
      <c r="I9" s="20"/>
    </row>
    <row r="10" customFormat="false" ht="14.25" hidden="false" customHeight="true" outlineLevel="0" collapsed="false">
      <c r="A10" s="20"/>
      <c r="B10" s="20"/>
      <c r="C10" s="20"/>
      <c r="D10" s="20"/>
      <c r="E10" s="20"/>
      <c r="F10" s="20"/>
      <c r="G10" s="20"/>
      <c r="H10" s="20"/>
      <c r="I10" s="20"/>
    </row>
    <row r="11" customFormat="false" ht="14.25" hidden="false" customHeight="true" outlineLevel="0" collapsed="false">
      <c r="A11" s="20"/>
      <c r="B11" s="20"/>
      <c r="C11" s="20"/>
      <c r="D11" s="20"/>
      <c r="E11" s="20"/>
      <c r="F11" s="20"/>
      <c r="G11" s="20"/>
      <c r="H11" s="20"/>
      <c r="I11" s="20"/>
    </row>
    <row r="12" customFormat="false" ht="14.25" hidden="false" customHeight="true" outlineLevel="0" collapsed="false">
      <c r="A12" s="20"/>
      <c r="B12" s="20"/>
      <c r="C12" s="20"/>
      <c r="D12" s="20"/>
      <c r="E12" s="20"/>
      <c r="F12" s="20"/>
      <c r="G12" s="20"/>
      <c r="H12" s="20"/>
      <c r="I12" s="20"/>
    </row>
    <row r="13" customFormat="false" ht="14.25" hidden="false" customHeight="true" outlineLevel="0" collapsed="false">
      <c r="A13" s="20"/>
      <c r="B13" s="20"/>
      <c r="C13" s="20"/>
      <c r="D13" s="20"/>
      <c r="E13" s="20"/>
      <c r="F13" s="20"/>
      <c r="G13" s="20"/>
      <c r="H13" s="20"/>
      <c r="I13" s="20"/>
    </row>
    <row r="14" customFormat="false" ht="14.25" hidden="false" customHeight="true" outlineLevel="0" collapsed="false">
      <c r="A14" s="20"/>
      <c r="B14" s="20"/>
      <c r="C14" s="20"/>
      <c r="D14" s="20"/>
      <c r="E14" s="20"/>
      <c r="F14" s="20"/>
      <c r="G14" s="20"/>
      <c r="H14" s="20"/>
      <c r="I14" s="20"/>
    </row>
    <row r="15" customFormat="false" ht="14.25" hidden="false" customHeight="true" outlineLevel="0" collapsed="false">
      <c r="A15" s="20"/>
      <c r="B15" s="20"/>
      <c r="C15" s="20"/>
      <c r="D15" s="20"/>
      <c r="E15" s="20"/>
      <c r="F15" s="20"/>
      <c r="G15" s="20"/>
      <c r="H15" s="20"/>
      <c r="I15" s="20"/>
    </row>
    <row r="16" customFormat="false" ht="14.25" hidden="false" customHeight="true" outlineLevel="0" collapsed="false">
      <c r="A16" s="20"/>
      <c r="B16" s="20"/>
      <c r="C16" s="20"/>
      <c r="D16" s="20"/>
      <c r="E16" s="20"/>
      <c r="F16" s="20"/>
      <c r="G16" s="20"/>
      <c r="H16" s="20"/>
      <c r="I16" s="20"/>
    </row>
    <row r="17" customFormat="false" ht="14.25" hidden="false" customHeight="true" outlineLevel="0" collapsed="false">
      <c r="A17" s="20"/>
      <c r="B17" s="20"/>
      <c r="C17" s="20"/>
      <c r="D17" s="20"/>
      <c r="E17" s="20"/>
      <c r="F17" s="20"/>
      <c r="G17" s="20"/>
      <c r="H17" s="20"/>
      <c r="I17" s="20"/>
    </row>
    <row r="18" customFormat="false" ht="14.25" hidden="false" customHeight="true" outlineLevel="0" collapsed="false">
      <c r="A18" s="20"/>
      <c r="B18" s="20"/>
      <c r="C18" s="20"/>
      <c r="D18" s="20"/>
      <c r="E18" s="20"/>
      <c r="F18" s="20"/>
      <c r="G18" s="20"/>
      <c r="H18" s="20"/>
      <c r="I18" s="20"/>
    </row>
    <row r="19" customFormat="false" ht="14.25" hidden="false" customHeight="true" outlineLevel="0" collapsed="false">
      <c r="A19" s="20"/>
      <c r="B19" s="20"/>
      <c r="C19" s="20"/>
      <c r="D19" s="20"/>
      <c r="E19" s="20"/>
      <c r="F19" s="20"/>
      <c r="G19" s="20"/>
      <c r="H19" s="20"/>
      <c r="I19" s="20"/>
    </row>
    <row r="20" customFormat="false" ht="14.25" hidden="false" customHeight="true" outlineLevel="0" collapsed="false">
      <c r="A20" s="20"/>
      <c r="B20" s="20"/>
      <c r="C20" s="20"/>
      <c r="D20" s="20"/>
      <c r="E20" s="20"/>
      <c r="F20" s="20"/>
      <c r="G20" s="20"/>
      <c r="H20" s="20"/>
      <c r="I20" s="20"/>
    </row>
    <row r="21" customFormat="false" ht="14.25" hidden="false" customHeight="true" outlineLevel="0" collapsed="false">
      <c r="A21" s="20"/>
      <c r="B21" s="20"/>
      <c r="C21" s="20"/>
      <c r="D21" s="20"/>
      <c r="E21" s="20"/>
      <c r="F21" s="20"/>
      <c r="G21" s="20"/>
      <c r="H21" s="20"/>
      <c r="I21" s="20"/>
    </row>
    <row r="22" customFormat="false" ht="14.25" hidden="false" customHeight="true" outlineLevel="0" collapsed="false">
      <c r="A22" s="20"/>
      <c r="B22" s="20"/>
      <c r="C22" s="20"/>
      <c r="D22" s="20"/>
      <c r="E22" s="20"/>
      <c r="F22" s="20"/>
      <c r="G22" s="20"/>
      <c r="H22" s="20"/>
      <c r="I22" s="20"/>
    </row>
    <row r="23" customFormat="false" ht="14.25" hidden="false" customHeight="true" outlineLevel="0" collapsed="false">
      <c r="A23" s="20"/>
      <c r="B23" s="20"/>
      <c r="C23" s="20"/>
      <c r="D23" s="20"/>
      <c r="E23" s="20"/>
      <c r="F23" s="20"/>
      <c r="G23" s="20"/>
      <c r="H23" s="20"/>
      <c r="I23" s="20"/>
    </row>
    <row r="24" customFormat="false" ht="14.25" hidden="false" customHeight="true" outlineLevel="0" collapsed="false">
      <c r="A24" s="20"/>
      <c r="B24" s="20"/>
      <c r="C24" s="20"/>
      <c r="D24" s="20"/>
      <c r="E24" s="20"/>
      <c r="F24" s="20"/>
      <c r="G24" s="20"/>
      <c r="H24" s="20"/>
      <c r="I24" s="20"/>
    </row>
    <row r="25" customFormat="false" ht="14.25" hidden="false" customHeight="true" outlineLevel="0" collapsed="false">
      <c r="A25" s="20"/>
      <c r="B25" s="20"/>
      <c r="C25" s="20"/>
      <c r="D25" s="20"/>
      <c r="E25" s="20"/>
      <c r="F25" s="20"/>
      <c r="G25" s="20"/>
      <c r="H25" s="20"/>
      <c r="I25" s="20"/>
    </row>
    <row r="26" customFormat="false" ht="14.25" hidden="false" customHeight="true" outlineLevel="0" collapsed="false">
      <c r="A26" s="20"/>
      <c r="B26" s="20"/>
      <c r="C26" s="20"/>
      <c r="D26" s="20"/>
      <c r="E26" s="20"/>
      <c r="F26" s="20"/>
      <c r="G26" s="20"/>
      <c r="H26" s="20"/>
      <c r="I26" s="20"/>
    </row>
    <row r="27" customFormat="false" ht="14.25" hidden="false" customHeight="true" outlineLevel="0" collapsed="false">
      <c r="A27" s="20"/>
      <c r="B27" s="20"/>
      <c r="C27" s="20"/>
      <c r="D27" s="20"/>
      <c r="E27" s="20"/>
      <c r="F27" s="20"/>
      <c r="G27" s="20"/>
      <c r="H27" s="20"/>
      <c r="I27" s="20"/>
    </row>
    <row r="28" customFormat="false" ht="14.25" hidden="false" customHeight="true" outlineLevel="0" collapsed="false">
      <c r="A28" s="20"/>
      <c r="B28" s="20"/>
      <c r="C28" s="20"/>
      <c r="D28" s="20"/>
      <c r="E28" s="20"/>
      <c r="F28" s="20"/>
      <c r="G28" s="20"/>
      <c r="H28" s="20"/>
      <c r="I28" s="20"/>
    </row>
    <row r="29" customFormat="false" ht="14.25" hidden="false" customHeight="true" outlineLevel="0" collapsed="false">
      <c r="A29" s="20"/>
      <c r="B29" s="20"/>
      <c r="C29" s="20"/>
      <c r="D29" s="20"/>
      <c r="E29" s="20"/>
      <c r="F29" s="20"/>
      <c r="G29" s="20"/>
      <c r="H29" s="20"/>
      <c r="I29" s="20"/>
    </row>
    <row r="30" customFormat="false" ht="14.25" hidden="false" customHeight="true" outlineLevel="0" collapsed="false">
      <c r="A30" s="20"/>
      <c r="B30" s="20"/>
      <c r="C30" s="20"/>
      <c r="D30" s="20"/>
      <c r="E30" s="20"/>
      <c r="F30" s="20"/>
      <c r="G30" s="20"/>
      <c r="H30" s="20"/>
      <c r="I30" s="20"/>
    </row>
    <row r="31" customFormat="false" ht="14.25" hidden="false" customHeight="true" outlineLevel="0" collapsed="false">
      <c r="A31" s="20"/>
      <c r="B31" s="20"/>
      <c r="C31" s="20"/>
      <c r="D31" s="20"/>
      <c r="E31" s="20"/>
      <c r="F31" s="20"/>
      <c r="G31" s="20"/>
      <c r="H31" s="20"/>
      <c r="I31" s="20"/>
    </row>
    <row r="32" customFormat="false" ht="14.25" hidden="false" customHeight="true" outlineLevel="0" collapsed="false">
      <c r="A32" s="20"/>
      <c r="B32" s="20"/>
      <c r="C32" s="20"/>
      <c r="D32" s="20"/>
      <c r="E32" s="20"/>
      <c r="F32" s="20"/>
      <c r="G32" s="20"/>
      <c r="H32" s="20"/>
      <c r="I32" s="20"/>
    </row>
    <row r="33" customFormat="false" ht="14.25" hidden="false" customHeight="true" outlineLevel="0" collapsed="false">
      <c r="A33" s="20"/>
      <c r="B33" s="20"/>
      <c r="C33" s="20"/>
      <c r="D33" s="20"/>
      <c r="E33" s="20"/>
      <c r="F33" s="20"/>
      <c r="G33" s="20"/>
      <c r="H33" s="20"/>
      <c r="I33" s="20"/>
    </row>
    <row r="34" customFormat="false" ht="14.25" hidden="false" customHeight="true" outlineLevel="0" collapsed="false">
      <c r="A34" s="20"/>
      <c r="B34" s="20"/>
      <c r="C34" s="20"/>
      <c r="D34" s="20"/>
      <c r="E34" s="20"/>
      <c r="F34" s="20"/>
      <c r="G34" s="20"/>
      <c r="H34" s="20"/>
      <c r="I34" s="20"/>
    </row>
    <row r="35" customFormat="false" ht="14.25" hidden="false" customHeight="true" outlineLevel="0" collapsed="false">
      <c r="A35" s="20"/>
      <c r="B35" s="20"/>
      <c r="C35" s="20"/>
      <c r="D35" s="20"/>
      <c r="E35" s="20"/>
      <c r="F35" s="20"/>
      <c r="G35" s="20"/>
      <c r="H35" s="20"/>
      <c r="I35" s="20"/>
    </row>
    <row r="36" customFormat="false" ht="14.25" hidden="false" customHeight="true" outlineLevel="0" collapsed="false">
      <c r="A36" s="20"/>
      <c r="B36" s="20"/>
      <c r="C36" s="20"/>
      <c r="D36" s="20"/>
      <c r="E36" s="20"/>
      <c r="F36" s="20"/>
      <c r="G36" s="20"/>
      <c r="H36" s="20"/>
      <c r="I36" s="20"/>
    </row>
    <row r="37" customFormat="false" ht="14.25" hidden="false" customHeight="true" outlineLevel="0" collapsed="false">
      <c r="A37" s="20"/>
      <c r="B37" s="20"/>
      <c r="C37" s="20"/>
      <c r="D37" s="20"/>
      <c r="E37" s="20"/>
      <c r="F37" s="20"/>
      <c r="G37" s="20"/>
      <c r="H37" s="20"/>
      <c r="I37" s="20"/>
    </row>
    <row r="38" customFormat="false" ht="14.25" hidden="false" customHeight="true" outlineLevel="0" collapsed="false">
      <c r="A38" s="20"/>
      <c r="B38" s="20"/>
      <c r="C38" s="20"/>
      <c r="D38" s="20"/>
      <c r="E38" s="20"/>
      <c r="F38" s="20"/>
      <c r="G38" s="20"/>
      <c r="H38" s="20"/>
      <c r="I38" s="20"/>
    </row>
    <row r="39" customFormat="false" ht="14.25" hidden="false" customHeight="true" outlineLevel="0" collapsed="false">
      <c r="A39" s="20"/>
      <c r="B39" s="20"/>
      <c r="C39" s="20"/>
      <c r="D39" s="20"/>
      <c r="E39" s="20"/>
      <c r="F39" s="20"/>
      <c r="G39" s="20"/>
      <c r="H39" s="20"/>
      <c r="I39" s="20"/>
    </row>
    <row r="40" customFormat="false" ht="14.25" hidden="false" customHeight="true" outlineLevel="0" collapsed="false">
      <c r="A40" s="20"/>
      <c r="B40" s="20"/>
      <c r="C40" s="20"/>
      <c r="D40" s="20"/>
      <c r="E40" s="20"/>
      <c r="F40" s="20"/>
      <c r="G40" s="20"/>
      <c r="H40" s="20"/>
      <c r="I40" s="20"/>
    </row>
    <row r="41" customFormat="false" ht="14.25" hidden="false" customHeight="true" outlineLevel="0" collapsed="false">
      <c r="A41" s="20"/>
      <c r="B41" s="20"/>
      <c r="C41" s="20"/>
      <c r="D41" s="20"/>
      <c r="E41" s="20"/>
      <c r="F41" s="20"/>
      <c r="G41" s="20"/>
      <c r="H41" s="20"/>
      <c r="I41" s="20"/>
    </row>
    <row r="42" customFormat="false" ht="14.25" hidden="false" customHeight="true" outlineLevel="0" collapsed="false">
      <c r="A42" s="20"/>
      <c r="B42" s="20"/>
      <c r="C42" s="20"/>
      <c r="D42" s="20"/>
      <c r="E42" s="20"/>
      <c r="F42" s="20"/>
      <c r="G42" s="20"/>
      <c r="H42" s="20"/>
      <c r="I42" s="20"/>
    </row>
    <row r="43" customFormat="false" ht="14.25" hidden="false" customHeight="true" outlineLevel="0" collapsed="false">
      <c r="A43" s="20"/>
      <c r="B43" s="20"/>
      <c r="C43" s="20"/>
      <c r="D43" s="20"/>
      <c r="E43" s="20"/>
      <c r="F43" s="20"/>
      <c r="G43" s="20"/>
      <c r="H43" s="20"/>
      <c r="I43" s="20"/>
    </row>
    <row r="44" customFormat="false" ht="14.25" hidden="false" customHeight="true" outlineLevel="0" collapsed="false">
      <c r="A44" s="20"/>
      <c r="B44" s="20"/>
      <c r="C44" s="20"/>
      <c r="D44" s="20"/>
      <c r="E44" s="20"/>
      <c r="F44" s="20"/>
      <c r="G44" s="20"/>
      <c r="H44" s="20"/>
      <c r="I44" s="20"/>
    </row>
    <row r="45" customFormat="false" ht="14.25" hidden="false" customHeight="true" outlineLevel="0" collapsed="false">
      <c r="A45" s="20"/>
      <c r="B45" s="20"/>
      <c r="C45" s="20"/>
      <c r="D45" s="20"/>
      <c r="E45" s="20"/>
      <c r="F45" s="20"/>
      <c r="G45" s="20"/>
      <c r="H45" s="20"/>
      <c r="I45" s="20"/>
    </row>
    <row r="46" customFormat="false" ht="14.25" hidden="false" customHeight="true" outlineLevel="0" collapsed="false">
      <c r="A46" s="20"/>
      <c r="B46" s="20"/>
      <c r="C46" s="20"/>
      <c r="D46" s="20"/>
      <c r="E46" s="20"/>
      <c r="F46" s="20"/>
      <c r="G46" s="20"/>
      <c r="H46" s="20"/>
      <c r="I46" s="20"/>
    </row>
    <row r="47" customFormat="false" ht="14.25" hidden="false" customHeight="true" outlineLevel="0" collapsed="false">
      <c r="A47" s="20"/>
      <c r="B47" s="20"/>
      <c r="C47" s="20"/>
      <c r="D47" s="20"/>
      <c r="E47" s="20"/>
      <c r="F47" s="20"/>
      <c r="G47" s="20"/>
      <c r="H47" s="20"/>
      <c r="I47" s="20"/>
    </row>
    <row r="48" customFormat="false" ht="14.25" hidden="false" customHeight="true" outlineLevel="0" collapsed="false">
      <c r="A48" s="20"/>
      <c r="B48" s="20"/>
      <c r="C48" s="20"/>
      <c r="D48" s="20"/>
      <c r="E48" s="20"/>
      <c r="F48" s="20"/>
      <c r="G48" s="20"/>
      <c r="H48" s="20"/>
      <c r="I48" s="20"/>
    </row>
    <row r="49" customFormat="false" ht="14.25" hidden="false" customHeight="true" outlineLevel="0" collapsed="false">
      <c r="A49" s="20"/>
      <c r="B49" s="20"/>
      <c r="C49" s="20"/>
      <c r="D49" s="20"/>
      <c r="E49" s="20"/>
      <c r="F49" s="20"/>
      <c r="G49" s="20"/>
      <c r="H49" s="20"/>
      <c r="I49" s="20"/>
    </row>
    <row r="50" customFormat="false" ht="14.25" hidden="false" customHeight="true" outlineLevel="0" collapsed="false">
      <c r="A50" s="20"/>
      <c r="B50" s="20"/>
      <c r="C50" s="20"/>
      <c r="D50" s="20"/>
      <c r="E50" s="20"/>
      <c r="F50" s="20"/>
      <c r="G50" s="20"/>
      <c r="H50" s="20"/>
      <c r="I50" s="20"/>
    </row>
    <row r="51" customFormat="false" ht="14.25" hidden="false" customHeight="true" outlineLevel="0" collapsed="false">
      <c r="A51" s="20"/>
      <c r="B51" s="20"/>
      <c r="C51" s="20"/>
      <c r="D51" s="20"/>
      <c r="E51" s="20"/>
      <c r="F51" s="20"/>
      <c r="G51" s="20"/>
      <c r="H51" s="20"/>
      <c r="I51" s="20"/>
    </row>
    <row r="52" customFormat="false" ht="14.25" hidden="false" customHeight="true" outlineLevel="0" collapsed="false">
      <c r="A52" s="20"/>
      <c r="B52" s="20"/>
      <c r="C52" s="20"/>
      <c r="D52" s="20"/>
      <c r="E52" s="20"/>
      <c r="F52" s="20"/>
      <c r="G52" s="20"/>
      <c r="H52" s="20"/>
      <c r="I52" s="20"/>
    </row>
    <row r="53" customFormat="false" ht="14.25" hidden="false" customHeight="true" outlineLevel="0" collapsed="false">
      <c r="A53" s="20"/>
      <c r="B53" s="20"/>
      <c r="C53" s="20"/>
      <c r="D53" s="20"/>
      <c r="E53" s="20"/>
      <c r="F53" s="20"/>
      <c r="G53" s="20"/>
      <c r="H53" s="20"/>
      <c r="I53" s="20"/>
    </row>
    <row r="54" customFormat="false" ht="14.25" hidden="false" customHeight="true" outlineLevel="0" collapsed="false">
      <c r="A54" s="20"/>
      <c r="B54" s="20"/>
      <c r="C54" s="20"/>
      <c r="D54" s="20"/>
      <c r="E54" s="20"/>
      <c r="F54" s="20"/>
      <c r="G54" s="20"/>
      <c r="H54" s="20"/>
      <c r="I54" s="20"/>
    </row>
    <row r="55" customFormat="false" ht="14.25" hidden="false" customHeight="true" outlineLevel="0" collapsed="false">
      <c r="A55" s="20"/>
      <c r="B55" s="20"/>
      <c r="C55" s="20"/>
      <c r="D55" s="20"/>
      <c r="E55" s="20"/>
      <c r="F55" s="20"/>
      <c r="G55" s="20"/>
      <c r="H55" s="20"/>
      <c r="I55" s="20"/>
    </row>
    <row r="56" customFormat="false" ht="14.25" hidden="false" customHeight="true" outlineLevel="0" collapsed="false">
      <c r="A56" s="20"/>
      <c r="B56" s="20"/>
      <c r="C56" s="20"/>
      <c r="D56" s="20"/>
      <c r="E56" s="20"/>
      <c r="F56" s="20"/>
      <c r="G56" s="20"/>
      <c r="H56" s="20"/>
      <c r="I56" s="20"/>
    </row>
    <row r="57" customFormat="false" ht="14.25" hidden="false" customHeight="true" outlineLevel="0" collapsed="false">
      <c r="A57" s="20"/>
      <c r="B57" s="20"/>
      <c r="C57" s="20"/>
      <c r="D57" s="20"/>
      <c r="E57" s="20"/>
      <c r="F57" s="20"/>
      <c r="G57" s="20"/>
      <c r="H57" s="20"/>
      <c r="I57" s="20"/>
    </row>
    <row r="58" customFormat="false" ht="14.25" hidden="false" customHeight="true" outlineLevel="0" collapsed="false">
      <c r="A58" s="20"/>
      <c r="B58" s="20"/>
      <c r="C58" s="20"/>
      <c r="D58" s="20"/>
      <c r="E58" s="20"/>
      <c r="F58" s="20"/>
      <c r="G58" s="20"/>
      <c r="H58" s="20"/>
      <c r="I58" s="20"/>
    </row>
  </sheetData>
  <dataValidations count="2">
    <dataValidation allowBlank="true" errorStyle="stop" operator="between" showDropDown="false" showErrorMessage="false" showInputMessage="false" sqref="E3:E199" type="list">
      <formula1>"Critical,Major,Minor,Cosmetic"</formula1>
      <formula2>0</formula2>
    </dataValidation>
    <dataValidation allowBlank="true" errorStyle="stop" operator="between" showDropDown="false" showErrorMessage="false" showInputMessage="false" sqref="H3:H199" type="list">
      <formula1>"Open,Fixed,Retest,Closed,Won't fix"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8597"/>
    <pageSetUpPr fitToPage="false"/>
  </sheetPr>
  <dimension ref="A1:B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4.25" zeroHeight="false" outlineLevelRow="0" outlineLevelCol="0"/>
  <cols>
    <col collapsed="false" customWidth="true" hidden="false" outlineLevel="0" max="1" min="1" style="1" width="32"/>
    <col collapsed="false" customWidth="true" hidden="false" outlineLevel="0" max="2" min="2" style="1" width="80"/>
  </cols>
  <sheetData>
    <row r="1" customFormat="false" ht="14.25" hidden="false" customHeight="true" outlineLevel="0" collapsed="false">
      <c r="A1" s="24" t="s">
        <v>484</v>
      </c>
      <c r="B1" s="24" t="s">
        <v>485</v>
      </c>
    </row>
    <row r="2" customFormat="false" ht="24" hidden="false" customHeight="true" outlineLevel="0" collapsed="false">
      <c r="A2" s="25" t="s">
        <v>81</v>
      </c>
      <c r="B2" s="6" t="s">
        <v>486</v>
      </c>
    </row>
    <row r="3" customFormat="false" ht="14.25" hidden="false" customHeight="true" outlineLevel="0" collapsed="false">
      <c r="A3" s="25" t="s">
        <v>487</v>
      </c>
      <c r="B3" s="6" t="s">
        <v>488</v>
      </c>
    </row>
    <row r="4" customFormat="false" ht="14.25" hidden="false" customHeight="true" outlineLevel="0" collapsed="false">
      <c r="A4" s="25" t="s">
        <v>320</v>
      </c>
      <c r="B4" s="6" t="s">
        <v>489</v>
      </c>
    </row>
    <row r="5" customFormat="false" ht="14.25" hidden="false" customHeight="true" outlineLevel="0" collapsed="false">
      <c r="A5" s="25" t="s">
        <v>133</v>
      </c>
      <c r="B5" s="6" t="s">
        <v>490</v>
      </c>
    </row>
    <row r="6" customFormat="false" ht="14.25" hidden="false" customHeight="true" outlineLevel="0" collapsed="false">
      <c r="A6" s="25" t="s">
        <v>491</v>
      </c>
      <c r="B6" s="6" t="s">
        <v>492</v>
      </c>
    </row>
    <row r="7" customFormat="false" ht="14.25" hidden="false" customHeight="true" outlineLevel="0" collapsed="false">
      <c r="A7" s="25" t="s">
        <v>493</v>
      </c>
      <c r="B7" s="6" t="s">
        <v>494</v>
      </c>
    </row>
    <row r="8" customFormat="false" ht="14.25" hidden="false" customHeight="true" outlineLevel="0" collapsed="false">
      <c r="A8" s="25" t="s">
        <v>495</v>
      </c>
      <c r="B8" s="6" t="s">
        <v>496</v>
      </c>
    </row>
    <row r="9" customFormat="false" ht="14.25" hidden="false" customHeight="true" outlineLevel="0" collapsed="false">
      <c r="A9" s="25" t="s">
        <v>497</v>
      </c>
      <c r="B9" s="6" t="s">
        <v>498</v>
      </c>
    </row>
    <row r="10" customFormat="false" ht="14.25" hidden="false" customHeight="true" outlineLevel="0" collapsed="false">
      <c r="A10" s="25" t="s">
        <v>139</v>
      </c>
      <c r="B10" s="6" t="s">
        <v>499</v>
      </c>
    </row>
    <row r="11" customFormat="false" ht="14.25" hidden="false" customHeight="true" outlineLevel="0" collapsed="false">
      <c r="A11" s="25" t="s">
        <v>145</v>
      </c>
      <c r="B11" s="6" t="s">
        <v>500</v>
      </c>
    </row>
    <row r="12" customFormat="false" ht="14.25" hidden="false" customHeight="true" outlineLevel="0" collapsed="false">
      <c r="A12" s="25" t="s">
        <v>501</v>
      </c>
      <c r="B12" s="6" t="s">
        <v>502</v>
      </c>
    </row>
    <row r="13" customFormat="false" ht="14.25" hidden="false" customHeight="true" outlineLevel="0" collapsed="false">
      <c r="A13" s="25" t="s">
        <v>151</v>
      </c>
      <c r="B13" s="6" t="s">
        <v>503</v>
      </c>
    </row>
    <row r="14" customFormat="false" ht="14.25" hidden="false" customHeight="true" outlineLevel="0" collapsed="false">
      <c r="A14" s="25" t="s">
        <v>504</v>
      </c>
      <c r="B14" s="6" t="s">
        <v>505</v>
      </c>
    </row>
    <row r="15" customFormat="false" ht="14.25" hidden="false" customHeight="true" outlineLevel="0" collapsed="false">
      <c r="A15" s="25" t="s">
        <v>506</v>
      </c>
      <c r="B15" s="6" t="s">
        <v>507</v>
      </c>
    </row>
    <row r="16" customFormat="false" ht="14.25" hidden="false" customHeight="true" outlineLevel="0" collapsed="false">
      <c r="A16" s="25" t="s">
        <v>508</v>
      </c>
      <c r="B16" s="6" t="s">
        <v>509</v>
      </c>
    </row>
    <row r="17" customFormat="false" ht="14.25" hidden="false" customHeight="true" outlineLevel="0" collapsed="false">
      <c r="A17" s="25" t="s">
        <v>510</v>
      </c>
      <c r="B17" s="6" t="s">
        <v>511</v>
      </c>
    </row>
    <row r="18" customFormat="false" ht="14.25" hidden="false" customHeight="true" outlineLevel="0" collapsed="false">
      <c r="A18" s="25" t="s">
        <v>512</v>
      </c>
      <c r="B18" s="6" t="s">
        <v>513</v>
      </c>
    </row>
    <row r="19" customFormat="false" ht="14.25" hidden="false" customHeight="true" outlineLevel="0" collapsed="false">
      <c r="A19" s="25" t="s">
        <v>514</v>
      </c>
      <c r="B19" s="6" t="s">
        <v>515</v>
      </c>
    </row>
    <row r="20" customFormat="false" ht="14.25" hidden="false" customHeight="true" outlineLevel="0" collapsed="false">
      <c r="A20" s="25" t="s">
        <v>516</v>
      </c>
      <c r="B20" s="6" t="s">
        <v>517</v>
      </c>
    </row>
    <row r="21" customFormat="false" ht="14.25" hidden="false" customHeight="true" outlineLevel="0" collapsed="false">
      <c r="A21" s="25" t="s">
        <v>518</v>
      </c>
      <c r="B21" s="6" t="s">
        <v>519</v>
      </c>
    </row>
    <row r="22" customFormat="false" ht="14.25" hidden="false" customHeight="true" outlineLevel="0" collapsed="false">
      <c r="A22" s="25" t="s">
        <v>423</v>
      </c>
      <c r="B22" s="6" t="s">
        <v>520</v>
      </c>
    </row>
    <row r="23" customFormat="false" ht="14.25" hidden="false" customHeight="true" outlineLevel="0" collapsed="false">
      <c r="A23" s="25" t="s">
        <v>116</v>
      </c>
      <c r="B23" s="6" t="s">
        <v>521</v>
      </c>
    </row>
    <row r="24" customFormat="false" ht="14.25" hidden="false" customHeight="true" outlineLevel="0" collapsed="false">
      <c r="A24" s="25" t="s">
        <v>522</v>
      </c>
      <c r="B24" s="6" t="s">
        <v>523</v>
      </c>
    </row>
    <row r="25" customFormat="false" ht="14.25" hidden="false" customHeight="true" outlineLevel="0" collapsed="false">
      <c r="A25" s="25" t="s">
        <v>126</v>
      </c>
      <c r="B25" s="6" t="s">
        <v>524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2026-10-11T05:47:53Z</dcterms:created>
  <dc:creator>openpyxl</dc:creator>
  <dc:description/>
  <dc:language>en-US</dc:language>
  <cp:lastModifiedBy>Habiba Afzal</cp:lastModifiedBy>
  <dcterms:modified xsi:type="dcterms:W3CDTF">2026-10-12T15:54:19Z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